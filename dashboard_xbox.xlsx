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santo\Downloads\google\estudo\"/>
    </mc:Choice>
  </mc:AlternateContent>
  <xr:revisionPtr revIDLastSave="0" documentId="13_ncr:1_{519424BE-412C-4DAB-9ABB-5592A932F965}" xr6:coauthVersionLast="47" xr6:coauthVersionMax="47" xr10:uidLastSave="{00000000-0000-0000-0000-000000000000}"/>
  <bookViews>
    <workbookView xWindow="-108" yWindow="-108" windowWidth="23256" windowHeight="12456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0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4" i="3" l="1"/>
  <c r="C31" i="3"/>
</calcChain>
</file>

<file path=xl/sharedStrings.xml><?xml version="1.0" encoding="utf-8"?>
<sst xmlns="http://schemas.openxmlformats.org/spreadsheetml/2006/main" count="2019" uniqueCount="323">
  <si>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</si>
  <si>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</si>
  <si>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</si>
  <si>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</si>
  <si>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</si>
  <si>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</si>
  <si>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</si>
  <si>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</si>
  <si>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</si>
  <si>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</si>
  <si>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</si>
  <si>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</si>
  <si>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</si>
  <si>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</si>
  <si>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</si>
  <si>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</si>
  <si>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</si>
  <si>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</si>
  <si>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</si>
  <si>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</si>
  <si>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</si>
  <si>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</si>
  <si>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</si>
  <si>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</si>
  <si>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</si>
  <si>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</si>
  <si>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</si>
  <si>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</si>
  <si>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</si>
  <si>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</si>
  <si>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</si>
  <si>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</si>
  <si>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</si>
  <si>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</si>
  <si>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</si>
  <si>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</si>
  <si>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</si>
  <si>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</si>
  <si>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</si>
  <si>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</si>
  <si>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</si>
  <si>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</si>
  <si>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</si>
  <si>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</si>
  <si>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</si>
  <si>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</si>
  <si>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</si>
  <si>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</si>
  <si>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</si>
  <si>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</si>
  <si>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</si>
  <si>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</si>
  <si>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</si>
  <si>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</si>
  <si>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</si>
  <si>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</si>
  <si>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</si>
  <si>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</si>
  <si>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</si>
  <si>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</si>
  <si>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</si>
  <si>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</si>
  <si>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</si>
  <si>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</si>
  <si>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</si>
  <si>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</si>
  <si>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</si>
  <si>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</si>
  <si>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</si>
  <si>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</si>
  <si>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</si>
  <si>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</si>
  <si>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</si>
  <si>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</si>
  <si>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</si>
  <si>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</si>
  <si>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</si>
  <si>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</si>
  <si>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</si>
  <si>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</si>
  <si>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</si>
  <si>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</si>
  <si>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</si>
  <si>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</si>
  <si>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</si>
  <si>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</si>
  <si>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</si>
  <si>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</si>
  <si>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</si>
  <si>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</si>
  <si>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</si>
  <si>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</si>
  <si>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</si>
  <si>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</si>
  <si>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</si>
  <si>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</si>
  <si>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</si>
  <si>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</si>
  <si>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</si>
  <si>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</si>
  <si>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</si>
  <si>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</si>
  <si>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</si>
  <si>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</si>
  <si>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</si>
  <si>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</si>
  <si>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</si>
  <si>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</si>
  <si>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</si>
  <si>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</si>
  <si>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</si>
  <si>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</si>
  <si>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</si>
  <si>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</si>
  <si>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</si>
  <si>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</si>
  <si>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</si>
  <si>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</si>
  <si>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</si>
  <si>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</si>
  <si>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</si>
  <si>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</si>
  <si>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</si>
  <si>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</si>
  <si>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</si>
  <si>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</si>
  <si>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</si>
  <si>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</si>
  <si>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</si>
  <si>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</si>
  <si>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</si>
  <si>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</si>
  <si>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</si>
  <si>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</si>
  <si>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</si>
  <si>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</si>
  <si>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</si>
  <si>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</si>
  <si>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</si>
  <si>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</si>
  <si>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</si>
  <si>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</si>
  <si>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</si>
  <si>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</si>
  <si>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</si>
  <si>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</si>
  <si>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</si>
  <si>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</si>
  <si>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</si>
  <si>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</si>
  <si>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</si>
  <si>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</si>
  <si>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</si>
  <si>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</si>
  <si>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</si>
  <si>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</si>
  <si>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</si>
  <si>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</si>
  <si>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</si>
  <si>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</si>
  <si>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</si>
  <si>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</si>
  <si>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</si>
  <si>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</si>
  <si>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</si>
  <si>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</si>
  <si>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</si>
  <si>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</si>
  <si>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</si>
  <si>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</si>
  <si>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</si>
  <si>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</si>
  <si>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</si>
  <si>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</si>
  <si>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</si>
  <si>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</si>
  <si>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</si>
  <si>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</si>
  <si>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</si>
  <si>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</si>
  <si>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</si>
  <si>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</si>
  <si>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</si>
  <si>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</si>
  <si>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</si>
  <si>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</si>
  <si>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</si>
  <si>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</si>
  <si>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</si>
  <si>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</si>
  <si>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</si>
  <si>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</si>
  <si>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</si>
  <si>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</si>
  <si>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</si>
  <si>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</si>
  <si>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</si>
  <si>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</si>
  <si>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</si>
  <si>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</si>
  <si>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</si>
  <si>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</si>
  <si>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</si>
  <si>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</si>
  <si>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</si>
  <si>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</si>
  <si>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</si>
  <si>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</si>
  <si>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</si>
  <si>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</si>
  <si>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</si>
  <si>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</si>
  <si>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</si>
  <si>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</si>
  <si>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</si>
  <si>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</si>
  <si>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</si>
  <si>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</si>
  <si>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</si>
  <si>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</si>
  <si>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</si>
  <si>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</si>
  <si>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</si>
  <si>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</si>
  <si>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</si>
  <si>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</si>
  <si>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</si>
  <si>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</si>
  <si>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</si>
  <si>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</si>
  <si>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</si>
  <si>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</si>
  <si>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</si>
  <si>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</si>
  <si>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</si>
  <si>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</si>
  <si>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</si>
  <si>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</si>
  <si>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</si>
  <si>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</si>
  <si>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</si>
  <si>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</si>
  <si>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</si>
  <si>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</si>
  <si>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</si>
  <si>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</si>
  <si>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</si>
  <si>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</si>
  <si>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</si>
  <si>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</si>
  <si>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</si>
  <si>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</si>
  <si>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</si>
  <si>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</si>
  <si>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</si>
  <si>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</si>
  <si>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</si>
  <si>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</si>
  <si>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</si>
  <si>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</si>
  <si>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</si>
  <si>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</si>
  <si>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</si>
  <si>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</si>
  <si>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</si>
  <si>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</si>
  <si>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</si>
  <si>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</si>
  <si>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</si>
  <si>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</si>
  <si>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</si>
  <si>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</si>
  <si>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</si>
  <si>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</si>
  <si>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</si>
  <si>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</si>
  <si>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</si>
  <si>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</si>
  <si>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</si>
  <si>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</si>
  <si>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</si>
  <si>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</si>
  <si>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</si>
  <si>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</si>
  <si>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</si>
  <si>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</si>
  <si>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</si>
  <si>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</si>
  <si>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</si>
  <si>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</si>
  <si>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</si>
  <si>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</si>
  <si>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</si>
  <si>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</si>
  <si>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</si>
  <si>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</si>
  <si>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</si>
  <si>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</si>
  <si>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</si>
  <si>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</si>
  <si>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</si>
  <si>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</si>
  <si>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</si>
  <si>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</si>
  <si>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</si>
  <si>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</si>
  <si>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</si>
  <si>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</si>
  <si>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</si>
  <si>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</si>
  <si>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</si>
  <si>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</si>
  <si>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</si>
  <si>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Total de vendas de planos anuais</t>
  </si>
  <si>
    <t>(contendo todas as assinaturas agregadas)</t>
  </si>
  <si>
    <t>Rótulos de Linha</t>
  </si>
  <si>
    <t>Total Geral</t>
  </si>
  <si>
    <t>Soma de Total Value</t>
  </si>
  <si>
    <t>XBOX GAMES PASS SUBSCRIPITIONS SALES</t>
  </si>
  <si>
    <t>Soma de EA Play Season Pass</t>
  </si>
  <si>
    <t>Soma de Minecraft Season Pass Price</t>
  </si>
  <si>
    <t>&gt; Bem vindo!</t>
  </si>
  <si>
    <t>Período de apuração: 01/01/2024 - 31/12/2024 - Update date: 12/02/2026 10:00:00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</si>
</sst>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9"/>
      <color rgb="FF9C5700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rgb="FF22C55E"/>
      <name val="Aptos Narrow"/>
      <family val="2"/>
      <scheme val="minor"/>
    </font>
    <font>
      <b/>
      <sz val="18"/>
      <color rgb="FF22C55E"/>
      <name val="Segoe UI"/>
      <family val="2"/>
    </font>
    <font>
      <sz val="11"/>
      <color theme="1"/>
      <name val="Segoe UI"/>
      <family val="2"/>
    </font>
    <font>
      <b/>
      <sz val="16"/>
      <color theme="0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5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5" fillId="8" borderId="0" xfId="3" applyFont="1" applyAlignment="1">
      <alignment horizontal="left" indent="3"/>
    </xf>
    <xf numFmtId="0" fontId="5" fillId="8" borderId="0" xfId="3" applyFont="1"/>
    <xf numFmtId="0" fontId="0" fillId="0" borderId="0" xfId="0" pivotButton="1"/>
    <xf numFmtId="0" fontId="0" fillId="0" borderId="0" xfId="0" applyAlignment="1">
      <alignment horizontal="left"/>
    </xf>
    <xf numFmtId="44" fontId="0" fillId="0" borderId="0" xfId="0" applyNumberFormat="1"/>
    <xf numFmtId="164" fontId="0" fillId="0" borderId="0" xfId="0" applyNumberFormat="1"/>
    <xf numFmtId="0" fontId="0" fillId="0" borderId="0" xfId="0" applyNumberFormat="1"/>
    <xf numFmtId="0" fontId="6" fillId="0" borderId="2" xfId="1" applyFont="1" applyBorder="1"/>
    <xf numFmtId="0" fontId="7" fillId="0" borderId="2" xfId="1" applyFont="1" applyBorder="1"/>
    <xf numFmtId="0" fontId="1" fillId="0" borderId="2" xfId="1" applyBorder="1"/>
    <xf numFmtId="0" fontId="8" fillId="0" borderId="2" xfId="1" applyFont="1" applyBorder="1" applyAlignment="1">
      <alignment horizontal="left" indent="2"/>
    </xf>
    <xf numFmtId="0" fontId="10" fillId="4" borderId="0" xfId="0" applyFont="1" applyFill="1" applyAlignment="1">
      <alignment horizontal="left" indent="3"/>
    </xf>
    <xf numFmtId="0" fontId="9" fillId="7" borderId="0" xfId="0" applyFont="1" applyFill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color theme="0"/>
        <name val="Segoe UI Black"/>
        <family val="2"/>
        <scheme val="none"/>
      </font>
      <fill>
        <patternFill>
          <bgColor rgb="FF22C55E"/>
        </patternFill>
      </fill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EF14E00E-6817-4FDC-A231-B2A9A87B3675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[dashboard_xbox.xlsx]C̳álculos!tbl_anual_total</c:name>
    <c:fmtId val="5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Segoe UI Black" panose="020B0A02040204020203" pitchFamily="34" charset="0"/>
                  <a:ea typeface="Segoe UI Black" panose="020B0A02040204020203" pitchFamily="34" charset="0"/>
                  <a:cs typeface="+mn-cs"/>
                </a:defRPr>
              </a:pPr>
              <a:endParaRPr lang="pt-BR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3597192261334158E-2"/>
          <c:y val="8.9264980038950656E-2"/>
          <c:w val="0.90640280773866577"/>
          <c:h val="0.883086383773340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5BF6A8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 Black" panose="020B0A02040204020203" pitchFamily="34" charset="0"/>
                    <a:ea typeface="Segoe UI Black" panose="020B0A02040204020203" pitchFamily="34" charset="0"/>
                    <a:cs typeface="+mn-cs"/>
                  </a:defRPr>
                </a:pPr>
                <a:endParaRPr lang="pt-B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13-4204-8F9F-3ED282C56C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13135935"/>
        <c:axId val="813130175"/>
      </c:barChart>
      <c:catAx>
        <c:axId val="81313593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13130175"/>
        <c:crosses val="autoZero"/>
        <c:auto val="1"/>
        <c:lblAlgn val="ctr"/>
        <c:lblOffset val="100"/>
        <c:noMultiLvlLbl val="0"/>
      </c:catAx>
      <c:valAx>
        <c:axId val="813130175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13135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6.png"/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24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24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106680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106680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206828</xdr:colOff>
      <xdr:row>0</xdr:row>
      <xdr:rowOff>87087</xdr:rowOff>
    </xdr:from>
    <xdr:to>
      <xdr:col>2</xdr:col>
      <xdr:colOff>65315</xdr:colOff>
      <xdr:row>2</xdr:row>
      <xdr:rowOff>99787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D19368CC-67FD-4030-819A-265AE5B53FB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8387" t="17151" r="70649" b="21390"/>
        <a:stretch>
          <a:fillRect/>
        </a:stretch>
      </xdr:blipFill>
      <xdr:spPr>
        <a:xfrm>
          <a:off x="2775857" y="87087"/>
          <a:ext cx="533401" cy="5461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</xdr:row>
      <xdr:rowOff>136219</xdr:rowOff>
    </xdr:from>
    <xdr:to>
      <xdr:col>0</xdr:col>
      <xdr:colOff>2535382</xdr:colOff>
      <xdr:row>16</xdr:row>
      <xdr:rowOff>129291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4" name="Subscription Type">
              <a:extLst>
                <a:ext uri="{FF2B5EF4-FFF2-40B4-BE49-F238E27FC236}">
                  <a16:creationId xmlns:a16="http://schemas.microsoft.com/office/drawing/2014/main" id="{0C16596D-0DD2-4F26-B52D-D0D461DEC45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099490"/>
              <a:ext cx="2535382" cy="12481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 fLocksWithSheet="0"/>
  </xdr:twoCellAnchor>
  <xdr:twoCellAnchor>
    <xdr:from>
      <xdr:col>1</xdr:col>
      <xdr:colOff>430306</xdr:colOff>
      <xdr:row>5</xdr:row>
      <xdr:rowOff>80682</xdr:rowOff>
    </xdr:from>
    <xdr:to>
      <xdr:col>11</xdr:col>
      <xdr:colOff>87086</xdr:colOff>
      <xdr:row>11</xdr:row>
      <xdr:rowOff>72166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63F08156-3823-EF5C-81A1-15DE248C023B}"/>
            </a:ext>
          </a:extLst>
        </xdr:cNvPr>
        <xdr:cNvGrpSpPr/>
      </xdr:nvGrpSpPr>
      <xdr:grpSpPr>
        <a:xfrm>
          <a:off x="2994212" y="1192306"/>
          <a:ext cx="5815533" cy="1201719"/>
          <a:chOff x="2999335" y="951539"/>
          <a:chExt cx="5184160" cy="1286884"/>
        </a:xfrm>
      </xdr:grpSpPr>
      <xdr:sp macro="" textlink="">
        <xdr:nvSpPr>
          <xdr:cNvPr id="7" name="Retângulo: Cantos Arredondados 6">
            <a:extLst>
              <a:ext uri="{FF2B5EF4-FFF2-40B4-BE49-F238E27FC236}">
                <a16:creationId xmlns:a16="http://schemas.microsoft.com/office/drawing/2014/main" id="{FF7993BA-0587-6B44-6AAC-04A8D1F0D827}"/>
              </a:ext>
            </a:extLst>
          </xdr:cNvPr>
          <xdr:cNvSpPr/>
        </xdr:nvSpPr>
        <xdr:spPr>
          <a:xfrm>
            <a:off x="2999335" y="951539"/>
            <a:ext cx="5184160" cy="1128275"/>
          </a:xfrm>
          <a:prstGeom prst="roundRect">
            <a:avLst>
              <a:gd name="adj" fmla="val 4255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31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C7AE8243-81F5-4189-A153-785E4327BE88}"/>
              </a:ext>
            </a:extLst>
          </xdr:cNvPr>
          <xdr:cNvSpPr/>
        </xdr:nvSpPr>
        <xdr:spPr>
          <a:xfrm>
            <a:off x="4520246" y="1308430"/>
            <a:ext cx="2978615" cy="653785"/>
          </a:xfrm>
          <a:prstGeom prst="roundRect">
            <a:avLst>
              <a:gd name="adj" fmla="val 5000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31B4030-D018-40B4-A12D-5CA924693A7D}" type="TxLink">
              <a:rPr lang="en-US" sz="4000" b="0" i="0" u="none" strike="noStrike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pPr algn="ctr"/>
              <a:t>R$ 990,00</a:t>
            </a:fld>
            <a:endParaRPr lang="pt-BR" sz="40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pic>
        <xdr:nvPicPr>
          <xdr:cNvPr id="10" name="Imagem 9">
            <a:extLst>
              <a:ext uri="{FF2B5EF4-FFF2-40B4-BE49-F238E27FC236}">
                <a16:creationId xmlns:a16="http://schemas.microsoft.com/office/drawing/2014/main" id="{69940EF5-0EAC-4ED8-9B42-5D0A52C9FDB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41167" y="1032222"/>
            <a:ext cx="1021976" cy="1206201"/>
          </a:xfrm>
          <a:prstGeom prst="rect">
            <a:avLst/>
          </a:prstGeom>
        </xdr:spPr>
      </xdr:pic>
      <xdr:sp macro="" textlink="">
        <xdr:nvSpPr>
          <xdr:cNvPr id="11" name="Retângulo: Cantos Superiores Arredondados 10">
            <a:extLst>
              <a:ext uri="{FF2B5EF4-FFF2-40B4-BE49-F238E27FC236}">
                <a16:creationId xmlns:a16="http://schemas.microsoft.com/office/drawing/2014/main" id="{7DC88095-331B-A4A3-813B-5CB93FAA4649}"/>
              </a:ext>
            </a:extLst>
          </xdr:cNvPr>
          <xdr:cNvSpPr/>
        </xdr:nvSpPr>
        <xdr:spPr>
          <a:xfrm>
            <a:off x="3243945" y="951539"/>
            <a:ext cx="4724400" cy="334254"/>
          </a:xfrm>
          <a:prstGeom prst="round2SameRect">
            <a:avLst>
              <a:gd name="adj1" fmla="val 50000"/>
              <a:gd name="adj2" fmla="val 5000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 Black" panose="020B0A02040204020203" pitchFamily="34" charset="0"/>
                <a:ea typeface="Segoe UI Black" panose="020B0A02040204020203" pitchFamily="34" charset="0"/>
              </a:rPr>
              <a:t>TOTAL</a:t>
            </a:r>
            <a:r>
              <a:rPr lang="pt-BR" sz="1400" b="1" baseline="0">
                <a:latin typeface="Segoe UI Black" panose="020B0A02040204020203" pitchFamily="34" charset="0"/>
                <a:ea typeface="Segoe UI Black" panose="020B0A02040204020203" pitchFamily="34" charset="0"/>
              </a:rPr>
              <a:t> SUBSCRIPITIONS EA PLAY SEASON PASS</a:t>
            </a:r>
          </a:p>
          <a:p>
            <a:pPr algn="ctr"/>
            <a:endParaRPr lang="pt-BR" sz="1400" b="1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>
    <xdr:from>
      <xdr:col>1</xdr:col>
      <xdr:colOff>468086</xdr:colOff>
      <xdr:row>11</xdr:row>
      <xdr:rowOff>108858</xdr:rowOff>
    </xdr:from>
    <xdr:to>
      <xdr:col>11</xdr:col>
      <xdr:colOff>124866</xdr:colOff>
      <xdr:row>18</xdr:row>
      <xdr:rowOff>100342</xdr:rowOff>
    </xdr:to>
    <xdr:grpSp>
      <xdr:nvGrpSpPr>
        <xdr:cNvPr id="13" name="Agrupar 12">
          <a:extLst>
            <a:ext uri="{FF2B5EF4-FFF2-40B4-BE49-F238E27FC236}">
              <a16:creationId xmlns:a16="http://schemas.microsoft.com/office/drawing/2014/main" id="{165E0D7A-1F1F-4365-9239-ADCCAD87E982}"/>
            </a:ext>
          </a:extLst>
        </xdr:cNvPr>
        <xdr:cNvGrpSpPr/>
      </xdr:nvGrpSpPr>
      <xdr:grpSpPr>
        <a:xfrm>
          <a:off x="3031992" y="2430717"/>
          <a:ext cx="5815533" cy="1246543"/>
          <a:chOff x="2999335" y="951539"/>
          <a:chExt cx="5184160" cy="1286884"/>
        </a:xfrm>
      </xdr:grpSpPr>
      <xdr:sp macro="" textlink="">
        <xdr:nvSpPr>
          <xdr:cNvPr id="14" name="Retângulo: Cantos Arredondados 13">
            <a:extLst>
              <a:ext uri="{FF2B5EF4-FFF2-40B4-BE49-F238E27FC236}">
                <a16:creationId xmlns:a16="http://schemas.microsoft.com/office/drawing/2014/main" id="{AA451E44-74C6-4B2A-45BE-34325D80B1B5}"/>
              </a:ext>
            </a:extLst>
          </xdr:cNvPr>
          <xdr:cNvSpPr/>
        </xdr:nvSpPr>
        <xdr:spPr>
          <a:xfrm>
            <a:off x="2999335" y="951539"/>
            <a:ext cx="5184160" cy="1128275"/>
          </a:xfrm>
          <a:prstGeom prst="roundRect">
            <a:avLst>
              <a:gd name="adj" fmla="val 4255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31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57D48D7C-702C-EDB7-B8B6-A894623455FC}"/>
              </a:ext>
            </a:extLst>
          </xdr:cNvPr>
          <xdr:cNvSpPr/>
        </xdr:nvSpPr>
        <xdr:spPr>
          <a:xfrm>
            <a:off x="4520246" y="1308430"/>
            <a:ext cx="2978615" cy="653785"/>
          </a:xfrm>
          <a:prstGeom prst="roundRect">
            <a:avLst>
              <a:gd name="adj" fmla="val 5000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31B4030-D018-40B4-A12D-5CA924693A7D}" type="TxLink">
              <a:rPr lang="en-US" sz="4000" b="0" i="0" u="none" strike="noStrike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pPr algn="ctr"/>
              <a:t>R$ 990,00</a:t>
            </a:fld>
            <a:endParaRPr lang="pt-BR" sz="40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43FA41FF-F892-16F9-7690-3491E6D71B8B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41167" y="1032222"/>
            <a:ext cx="1021976" cy="1206201"/>
          </a:xfrm>
          <a:prstGeom prst="rect">
            <a:avLst/>
          </a:prstGeom>
        </xdr:spPr>
      </xdr:pic>
      <xdr:sp macro="" textlink="">
        <xdr:nvSpPr>
          <xdr:cNvPr id="17" name="Retângulo: Cantos Superiores Arredondados 16">
            <a:extLst>
              <a:ext uri="{FF2B5EF4-FFF2-40B4-BE49-F238E27FC236}">
                <a16:creationId xmlns:a16="http://schemas.microsoft.com/office/drawing/2014/main" id="{0922B394-5649-D0C6-F7F5-D4F4D952C3D9}"/>
              </a:ext>
            </a:extLst>
          </xdr:cNvPr>
          <xdr:cNvSpPr/>
        </xdr:nvSpPr>
        <xdr:spPr>
          <a:xfrm>
            <a:off x="3243945" y="951539"/>
            <a:ext cx="4724400" cy="334254"/>
          </a:xfrm>
          <a:prstGeom prst="round2SameRect">
            <a:avLst>
              <a:gd name="adj1" fmla="val 50000"/>
              <a:gd name="adj2" fmla="val 5000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 Black" panose="020B0A02040204020203" pitchFamily="34" charset="0"/>
                <a:ea typeface="Segoe UI Black" panose="020B0A02040204020203" pitchFamily="34" charset="0"/>
              </a:rPr>
              <a:t>TOTAL</a:t>
            </a:r>
            <a:r>
              <a:rPr lang="pt-BR" sz="1400" b="1" baseline="0">
                <a:latin typeface="Segoe UI Black" panose="020B0A02040204020203" pitchFamily="34" charset="0"/>
                <a:ea typeface="Segoe UI Black" panose="020B0A02040204020203" pitchFamily="34" charset="0"/>
              </a:rPr>
              <a:t> SUBSCRIPITIONS EA PLAY SEASON PASS</a:t>
            </a:r>
          </a:p>
          <a:p>
            <a:pPr algn="ctr"/>
            <a:endParaRPr lang="pt-BR" sz="1400" b="1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>
    <xdr:from>
      <xdr:col>1</xdr:col>
      <xdr:colOff>477851</xdr:colOff>
      <xdr:row>5</xdr:row>
      <xdr:rowOff>48025</xdr:rowOff>
    </xdr:from>
    <xdr:to>
      <xdr:col>11</xdr:col>
      <xdr:colOff>134631</xdr:colOff>
      <xdr:row>11</xdr:row>
      <xdr:rowOff>39509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9E073188-D579-27C3-4F35-1B051EC89CDC}"/>
            </a:ext>
          </a:extLst>
        </xdr:cNvPr>
        <xdr:cNvGrpSpPr/>
      </xdr:nvGrpSpPr>
      <xdr:grpSpPr>
        <a:xfrm>
          <a:off x="3041757" y="1159649"/>
          <a:ext cx="5815533" cy="1201719"/>
          <a:chOff x="2999335" y="951539"/>
          <a:chExt cx="5184160" cy="1286884"/>
        </a:xfrm>
      </xdr:grpSpPr>
      <xdr:sp macro="" textlink="">
        <xdr:nvSpPr>
          <xdr:cNvPr id="22" name="Retângulo: Cantos Arredondados 21">
            <a:extLst>
              <a:ext uri="{FF2B5EF4-FFF2-40B4-BE49-F238E27FC236}">
                <a16:creationId xmlns:a16="http://schemas.microsoft.com/office/drawing/2014/main" id="{46889188-884A-B5E5-616F-949C679CBB65}"/>
              </a:ext>
            </a:extLst>
          </xdr:cNvPr>
          <xdr:cNvSpPr/>
        </xdr:nvSpPr>
        <xdr:spPr>
          <a:xfrm>
            <a:off x="2999335" y="951539"/>
            <a:ext cx="5184160" cy="1128275"/>
          </a:xfrm>
          <a:prstGeom prst="roundRect">
            <a:avLst>
              <a:gd name="adj" fmla="val 4255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31">
        <xdr:nvSpPr>
          <xdr:cNvPr id="23" name="Retângulo: Cantos Arredondados 22">
            <a:extLst>
              <a:ext uri="{FF2B5EF4-FFF2-40B4-BE49-F238E27FC236}">
                <a16:creationId xmlns:a16="http://schemas.microsoft.com/office/drawing/2014/main" id="{A99EEBD2-3356-3970-4999-1053C9B1984A}"/>
              </a:ext>
            </a:extLst>
          </xdr:cNvPr>
          <xdr:cNvSpPr/>
        </xdr:nvSpPr>
        <xdr:spPr>
          <a:xfrm>
            <a:off x="4520246" y="1308430"/>
            <a:ext cx="2978615" cy="653785"/>
          </a:xfrm>
          <a:prstGeom prst="roundRect">
            <a:avLst>
              <a:gd name="adj" fmla="val 5000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831B4030-D018-40B4-A12D-5CA924693A7D}" type="TxLink">
              <a:rPr lang="en-US" sz="4000" b="0" i="0" u="none" strike="noStrike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</a:rPr>
              <a:pPr algn="ctr"/>
              <a:t>R$ 990,00</a:t>
            </a:fld>
            <a:endParaRPr lang="pt-BR" sz="4000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  <xdr:pic>
        <xdr:nvPicPr>
          <xdr:cNvPr id="24" name="Imagem 23">
            <a:extLst>
              <a:ext uri="{FF2B5EF4-FFF2-40B4-BE49-F238E27FC236}">
                <a16:creationId xmlns:a16="http://schemas.microsoft.com/office/drawing/2014/main" id="{4D77192C-9AAA-0ACE-09F8-A4C4EBDAE4FD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441167" y="1032222"/>
            <a:ext cx="1021976" cy="1206201"/>
          </a:xfrm>
          <a:prstGeom prst="rect">
            <a:avLst/>
          </a:prstGeom>
        </xdr:spPr>
      </xdr:pic>
      <xdr:sp macro="" textlink="">
        <xdr:nvSpPr>
          <xdr:cNvPr id="25" name="Retângulo: Cantos Superiores Arredondados 24">
            <a:extLst>
              <a:ext uri="{FF2B5EF4-FFF2-40B4-BE49-F238E27FC236}">
                <a16:creationId xmlns:a16="http://schemas.microsoft.com/office/drawing/2014/main" id="{C6546D19-359C-6351-0EF0-D50A8CE2A65F}"/>
              </a:ext>
            </a:extLst>
          </xdr:cNvPr>
          <xdr:cNvSpPr/>
        </xdr:nvSpPr>
        <xdr:spPr>
          <a:xfrm>
            <a:off x="3243945" y="951539"/>
            <a:ext cx="4724400" cy="334254"/>
          </a:xfrm>
          <a:prstGeom prst="round2SameRect">
            <a:avLst>
              <a:gd name="adj1" fmla="val 50000"/>
              <a:gd name="adj2" fmla="val 50000"/>
            </a:avLst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400" b="1">
                <a:latin typeface="Segoe UI Black" panose="020B0A02040204020203" pitchFamily="34" charset="0"/>
                <a:ea typeface="Segoe UI Black" panose="020B0A02040204020203" pitchFamily="34" charset="0"/>
              </a:rPr>
              <a:t>TOTAL</a:t>
            </a:r>
            <a:r>
              <a:rPr lang="pt-BR" sz="1400" b="1" baseline="0">
                <a:latin typeface="Segoe UI Black" panose="020B0A02040204020203" pitchFamily="34" charset="0"/>
                <a:ea typeface="Segoe UI Black" panose="020B0A02040204020203" pitchFamily="34" charset="0"/>
              </a:rPr>
              <a:t> SUBSCRIPITIONS EA PLAY SEASON PASS</a:t>
            </a:r>
          </a:p>
          <a:p>
            <a:pPr algn="ctr"/>
            <a:endParaRPr lang="pt-BR" sz="1400" b="1">
              <a:latin typeface="Segoe UI Black" panose="020B0A02040204020203" pitchFamily="34" charset="0"/>
              <a:ea typeface="Segoe UI Black" panose="020B0A02040204020203" pitchFamily="34" charset="0"/>
            </a:endParaRPr>
          </a:p>
        </xdr:txBody>
      </xdr:sp>
    </xdr:grpSp>
    <xdr:clientData/>
  </xdr:twoCellAnchor>
  <xdr:twoCellAnchor>
    <xdr:from>
      <xdr:col>2</xdr:col>
      <xdr:colOff>48804</xdr:colOff>
      <xdr:row>11</xdr:row>
      <xdr:rowOff>76201</xdr:rowOff>
    </xdr:from>
    <xdr:to>
      <xdr:col>10</xdr:col>
      <xdr:colOff>474117</xdr:colOff>
      <xdr:row>13</xdr:row>
      <xdr:rowOff>40341</xdr:rowOff>
    </xdr:to>
    <xdr:sp macro="" textlink="">
      <xdr:nvSpPr>
        <xdr:cNvPr id="30" name="Retângulo: Cantos Superiores Arredondados 29">
          <a:extLst>
            <a:ext uri="{FF2B5EF4-FFF2-40B4-BE49-F238E27FC236}">
              <a16:creationId xmlns:a16="http://schemas.microsoft.com/office/drawing/2014/main" id="{21A788CD-14EB-71C9-DE81-068B92A2A94A}"/>
            </a:ext>
          </a:extLst>
        </xdr:cNvPr>
        <xdr:cNvSpPr/>
      </xdr:nvSpPr>
      <xdr:spPr>
        <a:xfrm>
          <a:off x="3292747" y="2242458"/>
          <a:ext cx="5302113" cy="334254"/>
        </a:xfrm>
        <a:prstGeom prst="round2SameRect">
          <a:avLst>
            <a:gd name="adj1" fmla="val 50000"/>
            <a:gd name="adj2" fmla="val 5000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Black" panose="020B0A02040204020203" pitchFamily="34" charset="0"/>
              <a:ea typeface="Segoe UI Black" panose="020B0A02040204020203" pitchFamily="34" charset="0"/>
            </a:rPr>
            <a:t>TOTAL</a:t>
          </a:r>
          <a:r>
            <a:rPr lang="pt-BR" sz="1400" b="1" baseline="0">
              <a:latin typeface="Segoe UI Black" panose="020B0A02040204020203" pitchFamily="34" charset="0"/>
              <a:ea typeface="Segoe UI Black" panose="020B0A02040204020203" pitchFamily="34" charset="0"/>
            </a:rPr>
            <a:t> SUBSCRIPITIONS MINECRAFT SEASON PASS</a:t>
          </a:r>
        </a:p>
        <a:p>
          <a:pPr algn="ctr"/>
          <a:endParaRPr lang="pt-BR" sz="1400" b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>
    <xdr:from>
      <xdr:col>1</xdr:col>
      <xdr:colOff>477851</xdr:colOff>
      <xdr:row>11</xdr:row>
      <xdr:rowOff>76201</xdr:rowOff>
    </xdr:from>
    <xdr:to>
      <xdr:col>11</xdr:col>
      <xdr:colOff>134631</xdr:colOff>
      <xdr:row>17</xdr:row>
      <xdr:rowOff>94133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A4FDC6DF-1EF1-06AC-3F1D-026DB0ACE2CC}"/>
            </a:ext>
          </a:extLst>
        </xdr:cNvPr>
        <xdr:cNvGrpSpPr/>
      </xdr:nvGrpSpPr>
      <xdr:grpSpPr>
        <a:xfrm>
          <a:off x="3041757" y="2398060"/>
          <a:ext cx="5815533" cy="1093697"/>
          <a:chOff x="3046880" y="2449287"/>
          <a:chExt cx="5818094" cy="1128275"/>
        </a:xfrm>
      </xdr:grpSpPr>
      <xdr:sp macro="" textlink="">
        <xdr:nvSpPr>
          <xdr:cNvPr id="27" name="Retângulo: Cantos Arredondados 26">
            <a:extLst>
              <a:ext uri="{FF2B5EF4-FFF2-40B4-BE49-F238E27FC236}">
                <a16:creationId xmlns:a16="http://schemas.microsoft.com/office/drawing/2014/main" id="{B3055774-AC44-3A03-7DEE-FBE7F755F5AC}"/>
              </a:ext>
            </a:extLst>
          </xdr:cNvPr>
          <xdr:cNvSpPr/>
        </xdr:nvSpPr>
        <xdr:spPr>
          <a:xfrm>
            <a:off x="3046880" y="2449287"/>
            <a:ext cx="5818094" cy="1128275"/>
          </a:xfrm>
          <a:prstGeom prst="roundRect">
            <a:avLst>
              <a:gd name="adj" fmla="val 42553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C̳álculos!C44">
        <xdr:nvSpPr>
          <xdr:cNvPr id="28" name="Retângulo: Cantos Arredondados 27">
            <a:extLst>
              <a:ext uri="{FF2B5EF4-FFF2-40B4-BE49-F238E27FC236}">
                <a16:creationId xmlns:a16="http://schemas.microsoft.com/office/drawing/2014/main" id="{85B5F2FF-40A1-925D-239B-3185BAC73BD7}"/>
              </a:ext>
            </a:extLst>
          </xdr:cNvPr>
          <xdr:cNvSpPr/>
        </xdr:nvSpPr>
        <xdr:spPr>
          <a:xfrm>
            <a:off x="4725117" y="2816842"/>
            <a:ext cx="3342849" cy="653784"/>
          </a:xfrm>
          <a:prstGeom prst="roundRect">
            <a:avLst>
              <a:gd name="adj" fmla="val 50000"/>
            </a:avLst>
          </a:prstGeom>
          <a:solidFill>
            <a:srgbClr val="5BF6A8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marL="0" indent="0" algn="ctr"/>
            <a:fld id="{FFE72E1E-A04C-4DB7-B5A8-6CDD51303666}" type="TxLink">
              <a:rPr lang="en-US" sz="4000" b="0" i="0" u="none" strike="noStrike">
                <a:solidFill>
                  <a:srgbClr val="000000"/>
                </a:solidFill>
                <a:latin typeface="Segoe UI Black" panose="020B0A02040204020203" pitchFamily="34" charset="0"/>
                <a:ea typeface="Segoe UI Black" panose="020B0A02040204020203" pitchFamily="34" charset="0"/>
                <a:cs typeface="+mn-cs"/>
              </a:rPr>
              <a:pPr marL="0" indent="0" algn="ctr"/>
              <a:t>R$ 1.140,00</a:t>
            </a:fld>
            <a:endParaRPr lang="pt-BR" sz="4000" b="0" i="0" u="none" strike="noStrike">
              <a:solidFill>
                <a:srgbClr val="000000"/>
              </a:solidFill>
              <a:latin typeface="Segoe UI Black" panose="020B0A02040204020203" pitchFamily="34" charset="0"/>
              <a:ea typeface="Segoe UI Black" panose="020B0A02040204020203" pitchFamily="34" charset="0"/>
              <a:cs typeface="+mn-cs"/>
            </a:endParaRPr>
          </a:p>
        </xdr:txBody>
      </xdr:sp>
      <xdr:grpSp>
        <xdr:nvGrpSpPr>
          <xdr:cNvPr id="31" name="Agrupar 30">
            <a:extLst>
              <a:ext uri="{FF2B5EF4-FFF2-40B4-BE49-F238E27FC236}">
                <a16:creationId xmlns:a16="http://schemas.microsoft.com/office/drawing/2014/main" id="{83C9763A-033C-424B-8BAA-05D2929FD7B5}"/>
              </a:ext>
            </a:extLst>
          </xdr:cNvPr>
          <xdr:cNvGrpSpPr/>
        </xdr:nvGrpSpPr>
        <xdr:grpSpPr>
          <a:xfrm>
            <a:off x="3200400" y="2809583"/>
            <a:ext cx="1480458" cy="668303"/>
            <a:chOff x="3495675" y="5400674"/>
            <a:chExt cx="1549476" cy="752476"/>
          </a:xfrm>
        </xdr:grpSpPr>
        <xdr:pic>
          <xdr:nvPicPr>
            <xdr:cNvPr id="32" name="Imagem 31">
              <a:extLst>
                <a:ext uri="{FF2B5EF4-FFF2-40B4-BE49-F238E27FC236}">
                  <a16:creationId xmlns:a16="http://schemas.microsoft.com/office/drawing/2014/main" id="{047D650E-5853-54B1-7B6C-B34AAA6ED50A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33" name="Gráfico 32">
              <a:extLst>
                <a:ext uri="{FF2B5EF4-FFF2-40B4-BE49-F238E27FC236}">
                  <a16:creationId xmlns:a16="http://schemas.microsoft.com/office/drawing/2014/main" id="{77A848C8-3688-EA97-61D5-C8BFA39DDF0C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1</xdr:col>
      <xdr:colOff>507627</xdr:colOff>
      <xdr:row>19</xdr:row>
      <xdr:rowOff>22296</xdr:rowOff>
    </xdr:from>
    <xdr:to>
      <xdr:col>11</xdr:col>
      <xdr:colOff>104856</xdr:colOff>
      <xdr:row>35</xdr:row>
      <xdr:rowOff>69623</xdr:rowOff>
    </xdr:to>
    <xdr:grpSp>
      <xdr:nvGrpSpPr>
        <xdr:cNvPr id="6" name="Agrupar 5">
          <a:extLst>
            <a:ext uri="{FF2B5EF4-FFF2-40B4-BE49-F238E27FC236}">
              <a16:creationId xmlns:a16="http://schemas.microsoft.com/office/drawing/2014/main" id="{4C17F924-2B21-0850-2BC7-1B2716050D69}"/>
            </a:ext>
          </a:extLst>
        </xdr:cNvPr>
        <xdr:cNvGrpSpPr/>
      </xdr:nvGrpSpPr>
      <xdr:grpSpPr>
        <a:xfrm>
          <a:off x="3071533" y="3778508"/>
          <a:ext cx="5755982" cy="2916033"/>
          <a:chOff x="2466109" y="1704109"/>
          <a:chExt cx="3837709" cy="2812473"/>
        </a:xfrm>
      </xdr:grpSpPr>
      <xdr:sp macro="" textlink="">
        <xdr:nvSpPr>
          <xdr:cNvPr id="5" name="Retângulo: Cantos Arredondados 4">
            <a:extLst>
              <a:ext uri="{FF2B5EF4-FFF2-40B4-BE49-F238E27FC236}">
                <a16:creationId xmlns:a16="http://schemas.microsoft.com/office/drawing/2014/main" id="{5A5D871F-B9BB-F3F5-D7B2-4B69A4EA58CE}"/>
              </a:ext>
            </a:extLst>
          </xdr:cNvPr>
          <xdr:cNvSpPr/>
        </xdr:nvSpPr>
        <xdr:spPr>
          <a:xfrm>
            <a:off x="2466109" y="1704109"/>
            <a:ext cx="3837709" cy="2812473"/>
          </a:xfrm>
          <a:prstGeom prst="roundRect">
            <a:avLst>
              <a:gd name="adj" fmla="val 1075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graphicFrame macro="">
        <xdr:nvGraphicFramePr>
          <xdr:cNvPr id="3" name="Gráfico 2">
            <a:extLst>
              <a:ext uri="{FF2B5EF4-FFF2-40B4-BE49-F238E27FC236}">
                <a16:creationId xmlns:a16="http://schemas.microsoft.com/office/drawing/2014/main" id="{8314E236-814A-4373-A8F7-738BCE925BE0}"/>
              </a:ext>
            </a:extLst>
          </xdr:cNvPr>
          <xdr:cNvGraphicFramePr>
            <a:graphicFrameLocks/>
          </xdr:cNvGraphicFramePr>
        </xdr:nvGraphicFramePr>
        <xdr:xfrm>
          <a:off x="2468776" y="2181951"/>
          <a:ext cx="3765163" cy="2210631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2</xdr:col>
      <xdr:colOff>61313</xdr:colOff>
      <xdr:row>19</xdr:row>
      <xdr:rowOff>22296</xdr:rowOff>
    </xdr:from>
    <xdr:to>
      <xdr:col>10</xdr:col>
      <xdr:colOff>486626</xdr:colOff>
      <xdr:row>20</xdr:row>
      <xdr:rowOff>171493</xdr:rowOff>
    </xdr:to>
    <xdr:sp macro="" textlink="">
      <xdr:nvSpPr>
        <xdr:cNvPr id="34" name="Retângulo: Cantos Superiores Arredondados 33">
          <a:extLst>
            <a:ext uri="{FF2B5EF4-FFF2-40B4-BE49-F238E27FC236}">
              <a16:creationId xmlns:a16="http://schemas.microsoft.com/office/drawing/2014/main" id="{8808D95F-B429-4919-AC1F-320ECE7D4247}"/>
            </a:ext>
          </a:extLst>
        </xdr:cNvPr>
        <xdr:cNvSpPr/>
      </xdr:nvSpPr>
      <xdr:spPr>
        <a:xfrm>
          <a:off x="3305256" y="3712553"/>
          <a:ext cx="5302113" cy="334254"/>
        </a:xfrm>
        <a:prstGeom prst="round2SameRect">
          <a:avLst>
            <a:gd name="adj1" fmla="val 50000"/>
            <a:gd name="adj2" fmla="val 50000"/>
          </a:avLst>
        </a:prstGeom>
        <a:solidFill>
          <a:srgbClr val="22C55E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latin typeface="Segoe UI Black" panose="020B0A02040204020203" pitchFamily="34" charset="0"/>
              <a:ea typeface="Segoe UI Black" panose="020B0A02040204020203" pitchFamily="34" charset="0"/>
            </a:rPr>
            <a:t>TOTAL</a:t>
          </a:r>
          <a:r>
            <a:rPr lang="pt-BR" sz="1400" b="1" baseline="0">
              <a:latin typeface="Segoe UI Black" panose="020B0A02040204020203" pitchFamily="34" charset="0"/>
              <a:ea typeface="Segoe UI Black" panose="020B0A02040204020203" pitchFamily="34" charset="0"/>
            </a:rPr>
            <a:t> SUBSCRIPITIONS XBOX GAME PASS</a:t>
          </a:r>
        </a:p>
        <a:p>
          <a:pPr algn="ctr"/>
          <a:endParaRPr lang="pt-BR" sz="1400" b="1">
            <a:latin typeface="Segoe UI Black" panose="020B0A02040204020203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97972</xdr:colOff>
      <xdr:row>1</xdr:row>
      <xdr:rowOff>250370</xdr:rowOff>
    </xdr:from>
    <xdr:to>
      <xdr:col>0</xdr:col>
      <xdr:colOff>1055915</xdr:colOff>
      <xdr:row>6</xdr:row>
      <xdr:rowOff>97972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E8F721CE-E15C-4025-8D06-3E58C9A718F7}"/>
            </a:ext>
          </a:extLst>
        </xdr:cNvPr>
        <xdr:cNvSpPr/>
      </xdr:nvSpPr>
      <xdr:spPr>
        <a:xfrm>
          <a:off x="97972" y="435427"/>
          <a:ext cx="957943" cy="979716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1467976</xdr:colOff>
      <xdr:row>1</xdr:row>
      <xdr:rowOff>250370</xdr:rowOff>
    </xdr:from>
    <xdr:to>
      <xdr:col>0</xdr:col>
      <xdr:colOff>2495551</xdr:colOff>
      <xdr:row>6</xdr:row>
      <xdr:rowOff>97972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0E6DE092-817A-4A34-AB85-16BEE506DA5C}"/>
            </a:ext>
          </a:extLst>
        </xdr:cNvPr>
        <xdr:cNvSpPr/>
      </xdr:nvSpPr>
      <xdr:spPr>
        <a:xfrm>
          <a:off x="1467976" y="435427"/>
          <a:ext cx="1027575" cy="979716"/>
        </a:xfrm>
        <a:prstGeom prst="ellipse">
          <a:avLst/>
        </a:prstGeom>
        <a:blipFill>
          <a:blip xmlns:r="http://schemas.openxmlformats.org/officeDocument/2006/relationships" r:embed="rId8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Victor Hugo" refreshedDate="46065.342988078701" createdVersion="8" refreshedVersion="8" minRefreshableVersion="3" recordCount="295" xr:uid="{C86F0A2E-4129-4445-8554-6F6E95C01774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 count="295">
        <n v="3231"/>
        <n v="3232"/>
        <n v="3233"/>
        <n v="3234"/>
        <n v="3235"/>
        <n v="3236"/>
        <n v="3237"/>
        <n v="3238"/>
        <n v="3239"/>
        <n v="3240"/>
        <n v="3241"/>
        <n v="3242"/>
        <n v="3243"/>
        <n v="3244"/>
        <n v="3245"/>
        <n v="3246"/>
        <n v="3247"/>
        <n v="3248"/>
        <n v="3249"/>
        <n v="3250"/>
        <n v="3251"/>
        <n v="3252"/>
        <n v="3253"/>
        <n v="3254"/>
        <n v="3255"/>
        <n v="3256"/>
        <n v="3257"/>
        <n v="3258"/>
        <n v="3259"/>
        <n v="3260"/>
        <n v="3261"/>
        <n v="3262"/>
        <n v="3263"/>
        <n v="3264"/>
        <n v="3265"/>
        <n v="3266"/>
        <n v="3267"/>
        <n v="3268"/>
        <n v="3269"/>
        <n v="3270"/>
        <n v="3271"/>
        <n v="3272"/>
        <n v="3273"/>
        <n v="3274"/>
        <n v="3275"/>
        <n v="3276"/>
        <n v="3277"/>
        <n v="3278"/>
        <n v="3279"/>
        <n v="3280"/>
        <n v="3281"/>
        <n v="3282"/>
        <n v="3283"/>
        <n v="3284"/>
        <n v="3285"/>
        <n v="3286"/>
        <n v="3287"/>
        <n v="3288"/>
        <n v="3289"/>
        <n v="3290"/>
        <n v="3291"/>
        <n v="3292"/>
        <n v="3293"/>
        <n v="3294"/>
        <n v="3295"/>
        <n v="3296"/>
        <n v="3297"/>
        <n v="3298"/>
        <n v="3299"/>
        <n v="3300"/>
        <n v="3301"/>
        <n v="3302"/>
        <n v="3303"/>
        <n v="3304"/>
        <n v="3305"/>
        <n v="3306"/>
        <n v="3307"/>
        <n v="3308"/>
        <n v="3309"/>
        <n v="3310"/>
        <n v="3311"/>
        <n v="3312"/>
        <n v="3313"/>
        <n v="3314"/>
        <n v="3315"/>
        <n v="3316"/>
        <n v="3317"/>
        <n v="3318"/>
        <n v="3319"/>
        <n v="3320"/>
        <n v="3321"/>
        <n v="3322"/>
        <n v="3323"/>
        <n v="3324"/>
        <n v="3325"/>
        <n v="3326"/>
        <n v="3327"/>
        <n v="3328"/>
        <n v="3329"/>
        <n v="3330"/>
        <n v="3331"/>
        <n v="3332"/>
        <n v="3333"/>
        <n v="3334"/>
        <n v="3335"/>
        <n v="3336"/>
        <n v="3337"/>
        <n v="3338"/>
        <n v="3339"/>
        <n v="3340"/>
        <n v="3341"/>
        <n v="3342"/>
        <n v="3343"/>
        <n v="3344"/>
        <n v="3345"/>
        <n v="3346"/>
        <n v="3347"/>
        <n v="3348"/>
        <n v="3349"/>
        <n v="3350"/>
        <n v="3351"/>
        <n v="3352"/>
        <n v="3353"/>
        <n v="3354"/>
        <n v="3355"/>
        <n v="3356"/>
        <n v="3357"/>
        <n v="3358"/>
        <n v="3359"/>
        <n v="3360"/>
        <n v="3361"/>
        <n v="3362"/>
        <n v="3363"/>
        <n v="3364"/>
        <n v="3365"/>
        <n v="3366"/>
        <n v="3367"/>
        <n v="3368"/>
        <n v="3369"/>
        <n v="3370"/>
        <n v="3371"/>
        <n v="3372"/>
        <n v="3373"/>
        <n v="3374"/>
        <n v="3375"/>
        <n v="3376"/>
        <n v="3377"/>
        <n v="3378"/>
        <n v="3379"/>
        <n v="3380"/>
        <n v="3381"/>
        <n v="3382"/>
        <n v="3383"/>
        <n v="3384"/>
        <n v="3385"/>
        <n v="3386"/>
        <n v="3387"/>
        <n v="3388"/>
        <n v="3389"/>
        <n v="3390"/>
        <n v="3391"/>
        <n v="3392"/>
        <n v="3393"/>
        <n v="3394"/>
        <n v="3395"/>
        <n v="3396"/>
        <n v="3397"/>
        <n v="3398"/>
        <n v="3399"/>
        <n v="3400"/>
        <n v="3401"/>
        <n v="3402"/>
        <n v="3403"/>
        <n v="3404"/>
        <n v="3405"/>
        <n v="3406"/>
        <n v="3407"/>
        <n v="3408"/>
        <n v="3409"/>
        <n v="3410"/>
        <n v="3411"/>
        <n v="3412"/>
        <n v="3413"/>
        <n v="3414"/>
        <n v="3415"/>
        <n v="3416"/>
        <n v="3417"/>
        <n v="3418"/>
        <n v="3419"/>
        <n v="3420"/>
        <n v="3421"/>
        <n v="3422"/>
        <n v="3423"/>
        <n v="3424"/>
        <n v="3425"/>
        <n v="3426"/>
        <n v="3427"/>
        <n v="3428"/>
        <n v="3429"/>
        <n v="3430"/>
        <n v="3431"/>
        <n v="3432"/>
        <n v="3433"/>
        <n v="3434"/>
        <n v="3435"/>
        <n v="3436"/>
        <n v="3437"/>
        <n v="3438"/>
        <n v="3439"/>
        <n v="3440"/>
        <n v="3441"/>
        <n v="3442"/>
        <n v="3443"/>
        <n v="3444"/>
        <n v="3445"/>
        <n v="3446"/>
        <n v="3447"/>
        <n v="3448"/>
        <n v="3449"/>
        <n v="3450"/>
        <n v="3451"/>
        <n v="3452"/>
        <n v="3453"/>
        <n v="3454"/>
        <n v="3455"/>
        <n v="3456"/>
        <n v="3457"/>
        <n v="3458"/>
        <n v="3459"/>
        <n v="3460"/>
        <n v="3461"/>
        <n v="3462"/>
        <n v="3463"/>
        <n v="3464"/>
        <n v="3465"/>
        <n v="3466"/>
        <n v="3467"/>
        <n v="3468"/>
        <n v="3469"/>
        <n v="3470"/>
        <n v="3471"/>
        <n v="3472"/>
        <n v="3473"/>
        <n v="3474"/>
        <n v="3475"/>
        <n v="3476"/>
        <n v="3477"/>
        <n v="3478"/>
        <n v="3479"/>
        <n v="3480"/>
        <n v="3481"/>
        <n v="3482"/>
        <n v="3483"/>
        <n v="3484"/>
        <n v="3485"/>
        <n v="3486"/>
        <n v="3487"/>
        <n v="3488"/>
        <n v="3489"/>
        <n v="3490"/>
        <n v="3491"/>
        <n v="3492"/>
        <n v="3493"/>
        <n v="3494"/>
        <n v="3495"/>
        <n v="3496"/>
        <n v="3497"/>
        <n v="3498"/>
        <n v="3499"/>
        <n v="3500"/>
        <n v="3501"/>
        <n v="3502"/>
        <n v="3503"/>
        <n v="3504"/>
        <n v="3505"/>
        <n v="3506"/>
        <n v="3507"/>
        <n v="3508"/>
        <n v="3509"/>
        <n v="3510"/>
        <n v="3511"/>
        <n v="3512"/>
        <n v="3513"/>
        <n v="3514"/>
        <n v="3515"/>
        <n v="3516"/>
        <n v="3517"/>
        <n v="3518"/>
        <n v="3519"/>
        <n v="3520"/>
        <n v="3521"/>
        <n v="3522"/>
        <n v="3523"/>
        <n v="3524"/>
        <n v="3525"/>
      </sharedItems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20274578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x v="0"/>
    <s v="João Silva"/>
    <x v="0"/>
    <d v="2024-01-01T00:00:00"/>
    <x v="0"/>
    <n v="15"/>
    <x v="0"/>
    <s v="Yes"/>
    <x v="0"/>
    <s v="Yes"/>
    <n v="20"/>
    <n v="5"/>
    <n v="60"/>
  </r>
  <r>
    <x v="1"/>
    <s v="Maria Oliveira"/>
    <x v="1"/>
    <d v="2024-01-15T00:00:00"/>
    <x v="1"/>
    <n v="5"/>
    <x v="1"/>
    <s v="No"/>
    <x v="1"/>
    <s v="No"/>
    <n v="0"/>
    <n v="0"/>
    <n v="5"/>
  </r>
  <r>
    <x v="2"/>
    <s v="Lucas Fernandes"/>
    <x v="2"/>
    <d v="2024-02-10T00:00:00"/>
    <x v="0"/>
    <n v="10"/>
    <x v="2"/>
    <s v="No"/>
    <x v="1"/>
    <s v="Yes"/>
    <n v="20"/>
    <n v="10"/>
    <n v="20"/>
  </r>
  <r>
    <x v="3"/>
    <s v="Ana Souza"/>
    <x v="0"/>
    <d v="2024-02-20T00:00:00"/>
    <x v="1"/>
    <n v="15"/>
    <x v="0"/>
    <s v="Yes"/>
    <x v="0"/>
    <s v="Yes"/>
    <n v="20"/>
    <n v="3"/>
    <n v="62"/>
  </r>
  <r>
    <x v="4"/>
    <s v="Pedro Gonçalves"/>
    <x v="1"/>
    <d v="2024-03-05T00:00:00"/>
    <x v="0"/>
    <n v="5"/>
    <x v="0"/>
    <s v="No"/>
    <x v="1"/>
    <s v="No"/>
    <n v="0"/>
    <n v="1"/>
    <n v="4"/>
  </r>
  <r>
    <x v="5"/>
    <s v="Felipe Costa"/>
    <x v="2"/>
    <d v="2024-03-02T00:00:00"/>
    <x v="1"/>
    <n v="10"/>
    <x v="0"/>
    <s v="No"/>
    <x v="1"/>
    <s v="Yes"/>
    <n v="20"/>
    <n v="2"/>
    <n v="28"/>
  </r>
  <r>
    <x v="6"/>
    <s v="Camila Ribeiro"/>
    <x v="0"/>
    <d v="2024-03-03T00:00:00"/>
    <x v="0"/>
    <n v="15"/>
    <x v="2"/>
    <s v="Yes"/>
    <x v="0"/>
    <s v="Yes"/>
    <n v="20"/>
    <n v="10"/>
    <n v="55"/>
  </r>
  <r>
    <x v="7"/>
    <s v="André Mendes"/>
    <x v="1"/>
    <d v="2024-03-04T00:00:00"/>
    <x v="0"/>
    <n v="5"/>
    <x v="1"/>
    <s v="No"/>
    <x v="1"/>
    <s v="No"/>
    <n v="0"/>
    <n v="0"/>
    <n v="5"/>
  </r>
  <r>
    <x v="8"/>
    <s v="Sofia Almeida"/>
    <x v="0"/>
    <d v="2024-03-05T00:00:00"/>
    <x v="1"/>
    <n v="15"/>
    <x v="0"/>
    <s v="Yes"/>
    <x v="0"/>
    <s v="Yes"/>
    <n v="20"/>
    <n v="5"/>
    <n v="60"/>
  </r>
  <r>
    <x v="9"/>
    <s v="Bruno Martins"/>
    <x v="2"/>
    <d v="2024-03-06T00:00:00"/>
    <x v="0"/>
    <n v="10"/>
    <x v="2"/>
    <s v="No"/>
    <x v="1"/>
    <s v="Yes"/>
    <n v="20"/>
    <n v="15"/>
    <n v="15"/>
  </r>
  <r>
    <x v="10"/>
    <s v="Rita Castro"/>
    <x v="1"/>
    <d v="2024-03-07T00:00:00"/>
    <x v="1"/>
    <n v="5"/>
    <x v="0"/>
    <s v="No"/>
    <x v="1"/>
    <s v="No"/>
    <n v="0"/>
    <n v="1"/>
    <n v="4"/>
  </r>
  <r>
    <x v="11"/>
    <s v="Marco Túlio"/>
    <x v="0"/>
    <d v="2024-03-08T00:00:00"/>
    <x v="0"/>
    <n v="15"/>
    <x v="1"/>
    <s v="Yes"/>
    <x v="0"/>
    <s v="Yes"/>
    <n v="20"/>
    <n v="20"/>
    <n v="45"/>
  </r>
  <r>
    <x v="12"/>
    <s v="Lívia Silveira"/>
    <x v="2"/>
    <d v="2024-03-09T00:00:00"/>
    <x v="1"/>
    <n v="10"/>
    <x v="0"/>
    <s v="No"/>
    <x v="1"/>
    <s v="Yes"/>
    <n v="20"/>
    <n v="10"/>
    <n v="20"/>
  </r>
  <r>
    <x v="13"/>
    <s v="Diogo Sousa"/>
    <x v="1"/>
    <d v="2024-03-10T00:00:00"/>
    <x v="0"/>
    <n v="5"/>
    <x v="2"/>
    <s v="No"/>
    <x v="1"/>
    <s v="No"/>
    <n v="0"/>
    <n v="0"/>
    <n v="5"/>
  </r>
  <r>
    <x v="14"/>
    <s v="Fernanda Lima"/>
    <x v="0"/>
    <d v="2024-03-11T00:00:00"/>
    <x v="1"/>
    <n v="15"/>
    <x v="0"/>
    <s v="Yes"/>
    <x v="0"/>
    <s v="Yes"/>
    <n v="20"/>
    <n v="8"/>
    <n v="57"/>
  </r>
  <r>
    <x v="15"/>
    <s v="Caio Pereira"/>
    <x v="2"/>
    <d v="2024-03-12T00:00:00"/>
    <x v="0"/>
    <n v="10"/>
    <x v="1"/>
    <s v="No"/>
    <x v="1"/>
    <s v="Yes"/>
    <n v="20"/>
    <n v="12"/>
    <n v="18"/>
  </r>
  <r>
    <x v="16"/>
    <s v="Beatriz Gomes"/>
    <x v="1"/>
    <d v="2024-03-13T00:00:00"/>
    <x v="1"/>
    <n v="5"/>
    <x v="0"/>
    <s v="No"/>
    <x v="1"/>
    <s v="No"/>
    <n v="0"/>
    <n v="2"/>
    <n v="3"/>
  </r>
  <r>
    <x v="17"/>
    <s v="Cesar Oliveira"/>
    <x v="0"/>
    <d v="2024-03-14T00:00:00"/>
    <x v="0"/>
    <n v="15"/>
    <x v="2"/>
    <s v="Yes"/>
    <x v="0"/>
    <s v="Yes"/>
    <n v="20"/>
    <n v="7"/>
    <n v="58"/>
  </r>
  <r>
    <x v="18"/>
    <s v="Débora Machado"/>
    <x v="2"/>
    <d v="2024-03-15T00:00:00"/>
    <x v="1"/>
    <n v="10"/>
    <x v="0"/>
    <s v="No"/>
    <x v="1"/>
    <s v="Yes"/>
    <n v="20"/>
    <n v="5"/>
    <n v="25"/>
  </r>
  <r>
    <x v="19"/>
    <s v="Eduardo Vargas"/>
    <x v="1"/>
    <d v="2024-03-16T00:00:00"/>
    <x v="0"/>
    <n v="5"/>
    <x v="1"/>
    <s v="No"/>
    <x v="1"/>
    <s v="No"/>
    <n v="0"/>
    <n v="0"/>
    <n v="5"/>
  </r>
  <r>
    <x v="20"/>
    <s v="Gabriela Santos"/>
    <x v="0"/>
    <d v="2024-03-17T00:00:00"/>
    <x v="1"/>
    <n v="15"/>
    <x v="0"/>
    <s v="Yes"/>
    <x v="0"/>
    <s v="Yes"/>
    <n v="20"/>
    <n v="3"/>
    <n v="62"/>
  </r>
  <r>
    <x v="21"/>
    <s v="Henrique Dias"/>
    <x v="2"/>
    <d v="2024-03-18T00:00:00"/>
    <x v="0"/>
    <n v="10"/>
    <x v="2"/>
    <s v="No"/>
    <x v="1"/>
    <s v="Yes"/>
    <n v="20"/>
    <n v="15"/>
    <n v="15"/>
  </r>
  <r>
    <x v="22"/>
    <s v="Isabela Moreira"/>
    <x v="1"/>
    <d v="2024-03-19T00:00:00"/>
    <x v="1"/>
    <n v="5"/>
    <x v="0"/>
    <s v="No"/>
    <x v="1"/>
    <s v="No"/>
    <n v="0"/>
    <n v="1"/>
    <n v="4"/>
  </r>
  <r>
    <x v="23"/>
    <s v="Joaquim Barbosa"/>
    <x v="0"/>
    <d v="2024-03-20T00:00:00"/>
    <x v="0"/>
    <n v="15"/>
    <x v="1"/>
    <s v="Yes"/>
    <x v="0"/>
    <s v="Yes"/>
    <n v="20"/>
    <n v="20"/>
    <n v="45"/>
  </r>
  <r>
    <x v="24"/>
    <s v="Lara Rocha"/>
    <x v="2"/>
    <d v="2024-03-21T00:00:00"/>
    <x v="1"/>
    <n v="10"/>
    <x v="0"/>
    <s v="No"/>
    <x v="1"/>
    <s v="Yes"/>
    <n v="20"/>
    <n v="10"/>
    <n v="20"/>
  </r>
  <r>
    <x v="25"/>
    <s v="Matheus Silva"/>
    <x v="1"/>
    <d v="2024-03-22T00:00:00"/>
    <x v="0"/>
    <n v="5"/>
    <x v="2"/>
    <s v="No"/>
    <x v="1"/>
    <s v="No"/>
    <n v="0"/>
    <n v="0"/>
    <n v="5"/>
  </r>
  <r>
    <x v="26"/>
    <s v="Nicole Costa"/>
    <x v="0"/>
    <d v="2024-03-23T00:00:00"/>
    <x v="1"/>
    <n v="15"/>
    <x v="0"/>
    <s v="Yes"/>
    <x v="0"/>
    <s v="Yes"/>
    <n v="20"/>
    <n v="5"/>
    <n v="60"/>
  </r>
  <r>
    <x v="27"/>
    <s v="Otávio Mendonça"/>
    <x v="2"/>
    <d v="2024-03-24T00:00:00"/>
    <x v="0"/>
    <n v="10"/>
    <x v="1"/>
    <s v="No"/>
    <x v="1"/>
    <s v="Yes"/>
    <n v="20"/>
    <n v="15"/>
    <n v="15"/>
  </r>
  <r>
    <x v="28"/>
    <s v="Paula Ferreira"/>
    <x v="1"/>
    <d v="2024-03-25T00:00:00"/>
    <x v="1"/>
    <n v="5"/>
    <x v="0"/>
    <s v="No"/>
    <x v="1"/>
    <s v="No"/>
    <n v="0"/>
    <n v="1"/>
    <n v="4"/>
  </r>
  <r>
    <x v="29"/>
    <s v="Raquel Alves"/>
    <x v="0"/>
    <d v="2024-03-26T00:00:00"/>
    <x v="0"/>
    <n v="15"/>
    <x v="2"/>
    <s v="Yes"/>
    <x v="0"/>
    <s v="Yes"/>
    <n v="20"/>
    <n v="7"/>
    <n v="58"/>
  </r>
  <r>
    <x v="30"/>
    <s v="Samuel Pires"/>
    <x v="2"/>
    <d v="2024-03-27T00:00:00"/>
    <x v="1"/>
    <n v="10"/>
    <x v="0"/>
    <s v="No"/>
    <x v="1"/>
    <s v="Yes"/>
    <n v="20"/>
    <n v="10"/>
    <n v="20"/>
  </r>
  <r>
    <x v="31"/>
    <s v="Tânia Barros"/>
    <x v="1"/>
    <d v="2024-03-28T00:00:00"/>
    <x v="0"/>
    <n v="5"/>
    <x v="1"/>
    <s v="No"/>
    <x v="1"/>
    <s v="No"/>
    <n v="0"/>
    <n v="0"/>
    <n v="5"/>
  </r>
  <r>
    <x v="32"/>
    <s v="Vinicius Lima"/>
    <x v="0"/>
    <d v="2024-03-29T00:00:00"/>
    <x v="1"/>
    <n v="15"/>
    <x v="0"/>
    <s v="Yes"/>
    <x v="0"/>
    <s v="Yes"/>
    <n v="20"/>
    <n v="3"/>
    <n v="62"/>
  </r>
  <r>
    <x v="33"/>
    <s v="Yasmin Teixeira"/>
    <x v="2"/>
    <d v="2024-03-30T00:00:00"/>
    <x v="0"/>
    <n v="10"/>
    <x v="2"/>
    <s v="No"/>
    <x v="1"/>
    <s v="Yes"/>
    <n v="20"/>
    <n v="15"/>
    <n v="15"/>
  </r>
  <r>
    <x v="34"/>
    <s v="Zé Carlos"/>
    <x v="1"/>
    <d v="2024-03-31T00:00:00"/>
    <x v="1"/>
    <n v="5"/>
    <x v="0"/>
    <s v="No"/>
    <x v="1"/>
    <s v="No"/>
    <n v="0"/>
    <n v="1"/>
    <n v="4"/>
  </r>
  <r>
    <x v="35"/>
    <s v="Amanda Nogueira"/>
    <x v="1"/>
    <d v="2024-04-01T00:00:00"/>
    <x v="0"/>
    <n v="5"/>
    <x v="0"/>
    <s v="No"/>
    <x v="1"/>
    <s v="No"/>
    <n v="0"/>
    <n v="0"/>
    <n v="5"/>
  </r>
  <r>
    <x v="36"/>
    <s v="Bruno Cavalheiro"/>
    <x v="0"/>
    <d v="2024-04-02T00:00:00"/>
    <x v="1"/>
    <n v="15"/>
    <x v="2"/>
    <s v="Yes"/>
    <x v="0"/>
    <s v="Yes"/>
    <n v="20"/>
    <n v="7"/>
    <n v="58"/>
  </r>
  <r>
    <x v="37"/>
    <s v="Carla Dias"/>
    <x v="2"/>
    <d v="2024-04-03T00:00:00"/>
    <x v="0"/>
    <n v="10"/>
    <x v="1"/>
    <s v="No"/>
    <x v="1"/>
    <s v="Yes"/>
    <n v="20"/>
    <n v="10"/>
    <n v="20"/>
  </r>
  <r>
    <x v="38"/>
    <s v="Diego Fontes"/>
    <x v="1"/>
    <d v="2024-04-04T00:00:00"/>
    <x v="1"/>
    <n v="5"/>
    <x v="2"/>
    <s v="No"/>
    <x v="1"/>
    <s v="No"/>
    <n v="0"/>
    <n v="1"/>
    <n v="4"/>
  </r>
  <r>
    <x v="39"/>
    <s v="Eunice Lima"/>
    <x v="0"/>
    <d v="2024-04-05T00:00:00"/>
    <x v="0"/>
    <n v="15"/>
    <x v="0"/>
    <s v="Yes"/>
    <x v="0"/>
    <s v="Yes"/>
    <n v="20"/>
    <n v="15"/>
    <n v="50"/>
  </r>
  <r>
    <x v="40"/>
    <s v="Fábio Martins"/>
    <x v="2"/>
    <d v="2024-04-06T00:00:00"/>
    <x v="1"/>
    <n v="10"/>
    <x v="0"/>
    <s v="No"/>
    <x v="1"/>
    <s v="Yes"/>
    <n v="20"/>
    <n v="5"/>
    <n v="25"/>
  </r>
  <r>
    <x v="41"/>
    <s v="Gisele Araújo"/>
    <x v="1"/>
    <d v="2024-04-07T00:00:00"/>
    <x v="0"/>
    <n v="5"/>
    <x v="1"/>
    <s v="No"/>
    <x v="1"/>
    <s v="No"/>
    <n v="0"/>
    <n v="0"/>
    <n v="5"/>
  </r>
  <r>
    <x v="42"/>
    <s v="Hélio Castro"/>
    <x v="0"/>
    <d v="2024-04-08T00:00:00"/>
    <x v="1"/>
    <n v="15"/>
    <x v="2"/>
    <s v="Yes"/>
    <x v="0"/>
    <s v="Yes"/>
    <n v="20"/>
    <n v="20"/>
    <n v="45"/>
  </r>
  <r>
    <x v="43"/>
    <s v="Ingrid Menezes"/>
    <x v="2"/>
    <d v="2024-04-09T00:00:00"/>
    <x v="0"/>
    <n v="10"/>
    <x v="2"/>
    <s v="No"/>
    <x v="1"/>
    <s v="Yes"/>
    <n v="20"/>
    <n v="12"/>
    <n v="18"/>
  </r>
  <r>
    <x v="44"/>
    <s v="Jorge Baptista"/>
    <x v="1"/>
    <d v="2024-04-10T00:00:00"/>
    <x v="1"/>
    <n v="5"/>
    <x v="0"/>
    <s v="No"/>
    <x v="1"/>
    <s v="No"/>
    <n v="0"/>
    <n v="2"/>
    <n v="3"/>
  </r>
  <r>
    <x v="45"/>
    <s v="Kléber Oliveira"/>
    <x v="0"/>
    <d v="2024-04-11T00:00:00"/>
    <x v="0"/>
    <n v="15"/>
    <x v="1"/>
    <s v="Yes"/>
    <x v="0"/>
    <s v="Yes"/>
    <n v="20"/>
    <n v="5"/>
    <n v="60"/>
  </r>
  <r>
    <x v="46"/>
    <s v="Luciana Freitas"/>
    <x v="2"/>
    <d v="2024-04-12T00:00:00"/>
    <x v="1"/>
    <n v="10"/>
    <x v="0"/>
    <s v="No"/>
    <x v="1"/>
    <s v="Yes"/>
    <n v="20"/>
    <n v="10"/>
    <n v="20"/>
  </r>
  <r>
    <x v="47"/>
    <s v="Márcia Eller"/>
    <x v="1"/>
    <d v="2024-04-13T00:00:00"/>
    <x v="0"/>
    <n v="5"/>
    <x v="2"/>
    <s v="No"/>
    <x v="1"/>
    <s v="No"/>
    <n v="0"/>
    <n v="0"/>
    <n v="5"/>
  </r>
  <r>
    <x v="48"/>
    <s v="Nilo Peçanha"/>
    <x v="0"/>
    <d v="2024-04-14T00:00:00"/>
    <x v="1"/>
    <n v="15"/>
    <x v="0"/>
    <s v="Yes"/>
    <x v="0"/>
    <s v="Yes"/>
    <n v="20"/>
    <n v="3"/>
    <n v="62"/>
  </r>
  <r>
    <x v="49"/>
    <s v="Oscar Neves"/>
    <x v="2"/>
    <d v="2024-04-15T00:00:00"/>
    <x v="0"/>
    <n v="10"/>
    <x v="1"/>
    <s v="No"/>
    <x v="1"/>
    <s v="Yes"/>
    <n v="20"/>
    <n v="15"/>
    <n v="15"/>
  </r>
  <r>
    <x v="50"/>
    <s v="Patrícia Soares"/>
    <x v="1"/>
    <d v="2024-04-16T00:00:00"/>
    <x v="1"/>
    <n v="5"/>
    <x v="0"/>
    <s v="No"/>
    <x v="1"/>
    <s v="No"/>
    <n v="0"/>
    <n v="1"/>
    <n v="4"/>
  </r>
  <r>
    <x v="51"/>
    <s v="Quirino Gonçalves"/>
    <x v="0"/>
    <d v="2024-04-17T00:00:00"/>
    <x v="0"/>
    <n v="15"/>
    <x v="2"/>
    <s v="Yes"/>
    <x v="0"/>
    <s v="Yes"/>
    <n v="20"/>
    <n v="7"/>
    <n v="58"/>
  </r>
  <r>
    <x v="52"/>
    <s v="Raul Machado"/>
    <x v="2"/>
    <d v="2024-04-18T00:00:00"/>
    <x v="1"/>
    <n v="10"/>
    <x v="0"/>
    <s v="No"/>
    <x v="1"/>
    <s v="Yes"/>
    <n v="20"/>
    <n v="10"/>
    <n v="20"/>
  </r>
  <r>
    <x v="53"/>
    <s v="Sônia Lobo"/>
    <x v="1"/>
    <d v="2024-04-19T00:00:00"/>
    <x v="0"/>
    <n v="5"/>
    <x v="1"/>
    <s v="No"/>
    <x v="1"/>
    <s v="No"/>
    <n v="0"/>
    <n v="0"/>
    <n v="5"/>
  </r>
  <r>
    <x v="54"/>
    <s v="Tiago Ramos"/>
    <x v="0"/>
    <d v="2024-04-20T00:00:00"/>
    <x v="1"/>
    <n v="15"/>
    <x v="0"/>
    <s v="Yes"/>
    <x v="0"/>
    <s v="Yes"/>
    <n v="20"/>
    <n v="20"/>
    <n v="45"/>
  </r>
  <r>
    <x v="55"/>
    <s v="Ugo Pires"/>
    <x v="2"/>
    <d v="2024-04-21T00:00:00"/>
    <x v="0"/>
    <n v="10"/>
    <x v="2"/>
    <s v="No"/>
    <x v="1"/>
    <s v="Yes"/>
    <n v="20"/>
    <n v="15"/>
    <n v="15"/>
  </r>
  <r>
    <x v="56"/>
    <s v="Valéria Nobre"/>
    <x v="1"/>
    <d v="2024-04-22T00:00:00"/>
    <x v="1"/>
    <n v="5"/>
    <x v="0"/>
    <s v="No"/>
    <x v="1"/>
    <s v="No"/>
    <n v="0"/>
    <n v="1"/>
    <n v="4"/>
  </r>
  <r>
    <x v="57"/>
    <s v="William Siqueira"/>
    <x v="0"/>
    <d v="2024-04-23T00:00:00"/>
    <x v="0"/>
    <n v="15"/>
    <x v="1"/>
    <s v="Yes"/>
    <x v="0"/>
    <s v="Yes"/>
    <n v="20"/>
    <n v="3"/>
    <n v="62"/>
  </r>
  <r>
    <x v="58"/>
    <s v="Xuxa Meneghel"/>
    <x v="2"/>
    <d v="2024-04-24T00:00:00"/>
    <x v="1"/>
    <n v="10"/>
    <x v="0"/>
    <s v="No"/>
    <x v="1"/>
    <s v="Yes"/>
    <n v="20"/>
    <n v="10"/>
    <n v="20"/>
  </r>
  <r>
    <x v="59"/>
    <s v="Yara Figueiredo"/>
    <x v="1"/>
    <d v="2024-04-25T00:00:00"/>
    <x v="0"/>
    <n v="5"/>
    <x v="2"/>
    <s v="No"/>
    <x v="1"/>
    <s v="No"/>
    <n v="0"/>
    <n v="0"/>
    <n v="5"/>
  </r>
  <r>
    <x v="60"/>
    <s v="Zacarias Alves"/>
    <x v="0"/>
    <d v="2024-04-26T00:00:00"/>
    <x v="1"/>
    <n v="15"/>
    <x v="0"/>
    <s v="Yes"/>
    <x v="0"/>
    <s v="Yes"/>
    <n v="20"/>
    <n v="5"/>
    <n v="60"/>
  </r>
  <r>
    <x v="61"/>
    <s v="Amanda Bynes"/>
    <x v="2"/>
    <d v="2024-04-27T00:00:00"/>
    <x v="0"/>
    <n v="10"/>
    <x v="1"/>
    <s v="No"/>
    <x v="1"/>
    <s v="Yes"/>
    <n v="20"/>
    <n v="15"/>
    <n v="15"/>
  </r>
  <r>
    <x v="62"/>
    <s v="Bruno Mars"/>
    <x v="1"/>
    <d v="2024-04-28T00:00:00"/>
    <x v="1"/>
    <n v="5"/>
    <x v="0"/>
    <s v="No"/>
    <x v="1"/>
    <s v="No"/>
    <n v="0"/>
    <n v="1"/>
    <n v="4"/>
  </r>
  <r>
    <x v="63"/>
    <s v="Carla Bruni"/>
    <x v="0"/>
    <d v="2024-04-29T00:00:00"/>
    <x v="0"/>
    <n v="15"/>
    <x v="2"/>
    <s v="Yes"/>
    <x v="0"/>
    <s v="Yes"/>
    <n v="20"/>
    <n v="20"/>
    <n v="45"/>
  </r>
  <r>
    <x v="64"/>
    <s v="Diego Maradona"/>
    <x v="2"/>
    <d v="2024-04-30T00:00:00"/>
    <x v="1"/>
    <n v="10"/>
    <x v="0"/>
    <s v="No"/>
    <x v="1"/>
    <s v="Yes"/>
    <n v="20"/>
    <n v="5"/>
    <n v="25"/>
  </r>
  <r>
    <x v="65"/>
    <s v="Estela Marques"/>
    <x v="1"/>
    <d v="2024-05-01T00:00:00"/>
    <x v="1"/>
    <n v="5"/>
    <x v="0"/>
    <s v="No"/>
    <x v="1"/>
    <s v="No"/>
    <n v="0"/>
    <n v="0"/>
    <n v="5"/>
  </r>
  <r>
    <x v="66"/>
    <s v="Fábio Nobre"/>
    <x v="0"/>
    <d v="2024-05-02T00:00:00"/>
    <x v="0"/>
    <n v="15"/>
    <x v="2"/>
    <s v="Yes"/>
    <x v="0"/>
    <s v="Yes"/>
    <n v="20"/>
    <n v="7"/>
    <n v="58"/>
  </r>
  <r>
    <x v="67"/>
    <s v="Gabriel Oliveira"/>
    <x v="2"/>
    <d v="2024-05-03T00:00:00"/>
    <x v="1"/>
    <n v="10"/>
    <x v="1"/>
    <s v="No"/>
    <x v="1"/>
    <s v="Yes"/>
    <n v="20"/>
    <n v="10"/>
    <n v="20"/>
  </r>
  <r>
    <x v="68"/>
    <s v="Helena Santos"/>
    <x v="1"/>
    <d v="2024-05-04T00:00:00"/>
    <x v="0"/>
    <n v="5"/>
    <x v="2"/>
    <s v="No"/>
    <x v="1"/>
    <s v="No"/>
    <n v="0"/>
    <n v="1"/>
    <n v="4"/>
  </r>
  <r>
    <x v="69"/>
    <s v="Ivan Carvalho"/>
    <x v="0"/>
    <d v="2024-05-05T00:00:00"/>
    <x v="1"/>
    <n v="15"/>
    <x v="0"/>
    <s v="Yes"/>
    <x v="0"/>
    <s v="Yes"/>
    <n v="20"/>
    <n v="15"/>
    <n v="50"/>
  </r>
  <r>
    <x v="70"/>
    <s v="Júlia Ferreira"/>
    <x v="2"/>
    <d v="2024-05-06T00:00:00"/>
    <x v="0"/>
    <n v="10"/>
    <x v="0"/>
    <s v="No"/>
    <x v="1"/>
    <s v="Yes"/>
    <n v="20"/>
    <n v="5"/>
    <n v="25"/>
  </r>
  <r>
    <x v="71"/>
    <s v="Karla Alves"/>
    <x v="1"/>
    <d v="2024-05-07T00:00:00"/>
    <x v="1"/>
    <n v="5"/>
    <x v="1"/>
    <s v="No"/>
    <x v="1"/>
    <s v="No"/>
    <n v="0"/>
    <n v="0"/>
    <n v="5"/>
  </r>
  <r>
    <x v="72"/>
    <s v="Lucas Mendes"/>
    <x v="0"/>
    <d v="2024-05-08T00:00:00"/>
    <x v="0"/>
    <n v="15"/>
    <x v="2"/>
    <s v="Yes"/>
    <x v="0"/>
    <s v="Yes"/>
    <n v="20"/>
    <n v="20"/>
    <n v="45"/>
  </r>
  <r>
    <x v="73"/>
    <s v="Mônica Gomes"/>
    <x v="2"/>
    <d v="2024-05-09T00:00:00"/>
    <x v="1"/>
    <n v="10"/>
    <x v="2"/>
    <s v="No"/>
    <x v="1"/>
    <s v="Yes"/>
    <n v="20"/>
    <n v="12"/>
    <n v="18"/>
  </r>
  <r>
    <x v="74"/>
    <s v="Norberto Queiroz"/>
    <x v="1"/>
    <d v="2024-05-10T00:00:00"/>
    <x v="0"/>
    <n v="5"/>
    <x v="0"/>
    <s v="No"/>
    <x v="1"/>
    <s v="No"/>
    <n v="0"/>
    <n v="2"/>
    <n v="3"/>
  </r>
  <r>
    <x v="75"/>
    <s v="Otávio Barros"/>
    <x v="0"/>
    <d v="2024-05-11T00:00:00"/>
    <x v="1"/>
    <n v="15"/>
    <x v="1"/>
    <s v="Yes"/>
    <x v="0"/>
    <s v="Yes"/>
    <n v="20"/>
    <n v="5"/>
    <n v="60"/>
  </r>
  <r>
    <x v="76"/>
    <s v="Paula Vieira"/>
    <x v="2"/>
    <d v="2024-05-12T00:00:00"/>
    <x v="0"/>
    <n v="10"/>
    <x v="0"/>
    <s v="No"/>
    <x v="1"/>
    <s v="Yes"/>
    <n v="20"/>
    <n v="10"/>
    <n v="20"/>
  </r>
  <r>
    <x v="77"/>
    <s v="Quentin Ramos"/>
    <x v="1"/>
    <d v="2024-05-13T00:00:00"/>
    <x v="1"/>
    <n v="5"/>
    <x v="2"/>
    <s v="No"/>
    <x v="1"/>
    <s v="No"/>
    <n v="0"/>
    <n v="0"/>
    <n v="5"/>
  </r>
  <r>
    <x v="78"/>
    <s v="Raquel Novaes"/>
    <x v="0"/>
    <d v="2024-05-14T00:00:00"/>
    <x v="0"/>
    <n v="15"/>
    <x v="0"/>
    <s v="Yes"/>
    <x v="0"/>
    <s v="Yes"/>
    <n v="20"/>
    <n v="3"/>
    <n v="62"/>
  </r>
  <r>
    <x v="79"/>
    <s v="Samantha Lopes"/>
    <x v="2"/>
    <d v="2024-05-15T00:00:00"/>
    <x v="1"/>
    <n v="10"/>
    <x v="1"/>
    <s v="No"/>
    <x v="1"/>
    <s v="Yes"/>
    <n v="20"/>
    <n v="15"/>
    <n v="15"/>
  </r>
  <r>
    <x v="80"/>
    <s v="Tiago Martins"/>
    <x v="1"/>
    <d v="2024-05-16T00:00:00"/>
    <x v="0"/>
    <n v="5"/>
    <x v="0"/>
    <s v="No"/>
    <x v="1"/>
    <s v="No"/>
    <n v="0"/>
    <n v="1"/>
    <n v="4"/>
  </r>
  <r>
    <x v="81"/>
    <s v="Ulysses Guimarães"/>
    <x v="0"/>
    <d v="2024-05-17T00:00:00"/>
    <x v="1"/>
    <n v="15"/>
    <x v="2"/>
    <s v="Yes"/>
    <x v="0"/>
    <s v="Yes"/>
    <n v="20"/>
    <n v="7"/>
    <n v="58"/>
  </r>
  <r>
    <x v="82"/>
    <s v="Vanessa Silva"/>
    <x v="2"/>
    <d v="2024-05-18T00:00:00"/>
    <x v="0"/>
    <n v="10"/>
    <x v="0"/>
    <s v="No"/>
    <x v="1"/>
    <s v="Yes"/>
    <n v="20"/>
    <n v="10"/>
    <n v="20"/>
  </r>
  <r>
    <x v="83"/>
    <s v="William Carneiro"/>
    <x v="1"/>
    <d v="2024-05-19T00:00:00"/>
    <x v="1"/>
    <n v="5"/>
    <x v="1"/>
    <s v="No"/>
    <x v="1"/>
    <s v="No"/>
    <n v="0"/>
    <n v="0"/>
    <n v="5"/>
  </r>
  <r>
    <x v="84"/>
    <s v="Ximena Rocha"/>
    <x v="0"/>
    <d v="2024-05-20T00:00:00"/>
    <x v="0"/>
    <n v="15"/>
    <x v="0"/>
    <s v="Yes"/>
    <x v="0"/>
    <s v="Yes"/>
    <n v="20"/>
    <n v="20"/>
    <n v="45"/>
  </r>
  <r>
    <x v="85"/>
    <s v="Yasmin Figueiredo"/>
    <x v="2"/>
    <d v="2024-05-21T00:00:00"/>
    <x v="1"/>
    <n v="10"/>
    <x v="2"/>
    <s v="No"/>
    <x v="1"/>
    <s v="Yes"/>
    <n v="20"/>
    <n v="15"/>
    <n v="15"/>
  </r>
  <r>
    <x v="86"/>
    <s v="Zara Cunha"/>
    <x v="1"/>
    <d v="2024-05-22T00:00:00"/>
    <x v="0"/>
    <n v="5"/>
    <x v="0"/>
    <s v="No"/>
    <x v="1"/>
    <s v="No"/>
    <n v="0"/>
    <n v="1"/>
    <n v="4"/>
  </r>
  <r>
    <x v="87"/>
    <s v="Alan Teixeira"/>
    <x v="0"/>
    <d v="2024-05-23T00:00:00"/>
    <x v="1"/>
    <n v="15"/>
    <x v="1"/>
    <s v="Yes"/>
    <x v="0"/>
    <s v="Yes"/>
    <n v="20"/>
    <n v="3"/>
    <n v="62"/>
  </r>
  <r>
    <x v="88"/>
    <s v="Bárbara Oliveira"/>
    <x v="2"/>
    <d v="2024-05-24T00:00:00"/>
    <x v="0"/>
    <n v="10"/>
    <x v="0"/>
    <s v="No"/>
    <x v="1"/>
    <s v="Yes"/>
    <n v="20"/>
    <n v="10"/>
    <n v="20"/>
  </r>
  <r>
    <x v="89"/>
    <s v="Carlos Junqueira"/>
    <x v="1"/>
    <d v="2024-05-25T00:00:00"/>
    <x v="1"/>
    <n v="5"/>
    <x v="2"/>
    <s v="No"/>
    <x v="1"/>
    <s v="No"/>
    <n v="0"/>
    <n v="0"/>
    <n v="5"/>
  </r>
  <r>
    <x v="90"/>
    <s v="Daniela Moura"/>
    <x v="0"/>
    <d v="2024-05-26T00:00:00"/>
    <x v="0"/>
    <n v="15"/>
    <x v="0"/>
    <s v="Yes"/>
    <x v="0"/>
    <s v="Yes"/>
    <n v="20"/>
    <n v="5"/>
    <n v="60"/>
  </r>
  <r>
    <x v="91"/>
    <s v="Eduardo Lima"/>
    <x v="2"/>
    <d v="2024-05-27T00:00:00"/>
    <x v="1"/>
    <n v="10"/>
    <x v="1"/>
    <s v="No"/>
    <x v="1"/>
    <s v="Yes"/>
    <n v="20"/>
    <n v="15"/>
    <n v="15"/>
  </r>
  <r>
    <x v="92"/>
    <s v="Fabiana Araújo"/>
    <x v="1"/>
    <d v="2024-05-28T00:00:00"/>
    <x v="0"/>
    <n v="5"/>
    <x v="0"/>
    <s v="No"/>
    <x v="1"/>
    <s v="No"/>
    <n v="0"/>
    <n v="1"/>
    <n v="4"/>
  </r>
  <r>
    <x v="93"/>
    <s v="Geraldo Ribeiro"/>
    <x v="0"/>
    <d v="2024-05-29T00:00:00"/>
    <x v="1"/>
    <n v="15"/>
    <x v="2"/>
    <s v="Yes"/>
    <x v="0"/>
    <s v="Yes"/>
    <n v="20"/>
    <n v="20"/>
    <n v="45"/>
  </r>
  <r>
    <x v="94"/>
    <s v="Héctor Vargas"/>
    <x v="2"/>
    <d v="2024-05-30T00:00:00"/>
    <x v="0"/>
    <n v="10"/>
    <x v="2"/>
    <s v="No"/>
    <x v="1"/>
    <s v="Yes"/>
    <n v="20"/>
    <n v="15"/>
    <n v="15"/>
  </r>
  <r>
    <x v="95"/>
    <s v="Isabela Fonseca"/>
    <x v="1"/>
    <d v="2024-05-31T00:00:00"/>
    <x v="1"/>
    <n v="5"/>
    <x v="1"/>
    <s v="No"/>
    <x v="1"/>
    <s v="No"/>
    <n v="0"/>
    <n v="0"/>
    <n v="5"/>
  </r>
  <r>
    <x v="96"/>
    <s v="João Pedro Almeida"/>
    <x v="0"/>
    <d v="2024-06-01T00:00:00"/>
    <x v="0"/>
    <n v="15"/>
    <x v="0"/>
    <s v="Yes"/>
    <x v="0"/>
    <s v="Yes"/>
    <n v="20"/>
    <n v="7"/>
    <n v="58"/>
  </r>
  <r>
    <x v="97"/>
    <s v="Klara Costa"/>
    <x v="2"/>
    <d v="2024-06-02T00:00:00"/>
    <x v="1"/>
    <n v="10"/>
    <x v="1"/>
    <s v="No"/>
    <x v="1"/>
    <s v="Yes"/>
    <n v="20"/>
    <n v="10"/>
    <n v="20"/>
  </r>
  <r>
    <x v="98"/>
    <s v="Luciana Mendes"/>
    <x v="1"/>
    <d v="2024-06-03T00:00:00"/>
    <x v="0"/>
    <n v="5"/>
    <x v="2"/>
    <s v="No"/>
    <x v="1"/>
    <s v="No"/>
    <n v="0"/>
    <n v="1"/>
    <n v="4"/>
  </r>
  <r>
    <x v="99"/>
    <s v="Marcelo Gouveia"/>
    <x v="0"/>
    <d v="2024-06-04T00:00:00"/>
    <x v="1"/>
    <n v="15"/>
    <x v="0"/>
    <s v="Yes"/>
    <x v="0"/>
    <s v="Yes"/>
    <n v="20"/>
    <n v="15"/>
    <n v="50"/>
  </r>
  <r>
    <x v="100"/>
    <s v="Nívea Borges"/>
    <x v="2"/>
    <d v="2024-06-05T00:00:00"/>
    <x v="0"/>
    <n v="10"/>
    <x v="0"/>
    <s v="No"/>
    <x v="1"/>
    <s v="Yes"/>
    <n v="20"/>
    <n v="5"/>
    <n v="25"/>
  </r>
  <r>
    <x v="101"/>
    <s v="Oscar Nogueira"/>
    <x v="1"/>
    <d v="2024-06-06T00:00:00"/>
    <x v="1"/>
    <n v="5"/>
    <x v="1"/>
    <s v="No"/>
    <x v="1"/>
    <s v="No"/>
    <n v="0"/>
    <n v="0"/>
    <n v="5"/>
  </r>
  <r>
    <x v="102"/>
    <s v="Patrícia Alves"/>
    <x v="0"/>
    <d v="2024-06-07T00:00:00"/>
    <x v="0"/>
    <n v="15"/>
    <x v="2"/>
    <s v="Yes"/>
    <x v="0"/>
    <s v="Yes"/>
    <n v="20"/>
    <n v="20"/>
    <n v="45"/>
  </r>
  <r>
    <x v="103"/>
    <s v="Rafaela Silva"/>
    <x v="2"/>
    <d v="2024-06-08T00:00:00"/>
    <x v="1"/>
    <n v="10"/>
    <x v="2"/>
    <s v="No"/>
    <x v="1"/>
    <s v="Yes"/>
    <n v="20"/>
    <n v="12"/>
    <n v="18"/>
  </r>
  <r>
    <x v="104"/>
    <s v="Samantha Moraes"/>
    <x v="1"/>
    <d v="2024-06-09T00:00:00"/>
    <x v="0"/>
    <n v="5"/>
    <x v="0"/>
    <s v="No"/>
    <x v="1"/>
    <s v="No"/>
    <n v="0"/>
    <n v="2"/>
    <n v="3"/>
  </r>
  <r>
    <x v="105"/>
    <s v="Tatiana Rocha"/>
    <x v="1"/>
    <d v="2024-06-10T00:00:00"/>
    <x v="0"/>
    <n v="5"/>
    <x v="0"/>
    <s v="No"/>
    <x v="1"/>
    <s v="No"/>
    <n v="0"/>
    <n v="0"/>
    <n v="5"/>
  </r>
  <r>
    <x v="106"/>
    <s v="Ulisses Tavares"/>
    <x v="0"/>
    <d v="2024-06-11T00:00:00"/>
    <x v="1"/>
    <n v="15"/>
    <x v="2"/>
    <s v="Yes"/>
    <x v="0"/>
    <s v="Yes"/>
    <n v="20"/>
    <n v="7"/>
    <n v="58"/>
  </r>
  <r>
    <x v="107"/>
    <s v="Víctor Lemos"/>
    <x v="2"/>
    <d v="2024-06-12T00:00:00"/>
    <x v="0"/>
    <n v="10"/>
    <x v="1"/>
    <s v="No"/>
    <x v="1"/>
    <s v="Yes"/>
    <n v="20"/>
    <n v="10"/>
    <n v="20"/>
  </r>
  <r>
    <x v="108"/>
    <s v="Wilma Barros"/>
    <x v="1"/>
    <d v="2024-06-13T00:00:00"/>
    <x v="1"/>
    <n v="5"/>
    <x v="2"/>
    <s v="No"/>
    <x v="1"/>
    <s v="No"/>
    <n v="0"/>
    <n v="1"/>
    <n v="4"/>
  </r>
  <r>
    <x v="109"/>
    <s v="Xavier Nascimento"/>
    <x v="0"/>
    <d v="2024-06-14T00:00:00"/>
    <x v="0"/>
    <n v="15"/>
    <x v="0"/>
    <s v="Yes"/>
    <x v="0"/>
    <s v="Yes"/>
    <n v="20"/>
    <n v="15"/>
    <n v="50"/>
  </r>
  <r>
    <x v="110"/>
    <s v="Yago Pereira"/>
    <x v="2"/>
    <d v="2024-06-15T00:00:00"/>
    <x v="1"/>
    <n v="10"/>
    <x v="0"/>
    <s v="No"/>
    <x v="1"/>
    <s v="Yes"/>
    <n v="20"/>
    <n v="5"/>
    <n v="25"/>
  </r>
  <r>
    <x v="111"/>
    <s v="Zilda Ferreira"/>
    <x v="1"/>
    <d v="2024-06-16T00:00:00"/>
    <x v="0"/>
    <n v="5"/>
    <x v="1"/>
    <s v="No"/>
    <x v="1"/>
    <s v="No"/>
    <n v="0"/>
    <n v="0"/>
    <n v="5"/>
  </r>
  <r>
    <x v="112"/>
    <s v="Amanda Lopes"/>
    <x v="0"/>
    <d v="2024-06-17T00:00:00"/>
    <x v="1"/>
    <n v="15"/>
    <x v="2"/>
    <s v="Yes"/>
    <x v="0"/>
    <s v="Yes"/>
    <n v="20"/>
    <n v="20"/>
    <n v="45"/>
  </r>
  <r>
    <x v="113"/>
    <s v="Bruno Miranda"/>
    <x v="2"/>
    <d v="2024-06-18T00:00:00"/>
    <x v="0"/>
    <n v="10"/>
    <x v="2"/>
    <s v="No"/>
    <x v="1"/>
    <s v="Yes"/>
    <n v="20"/>
    <n v="12"/>
    <n v="18"/>
  </r>
  <r>
    <x v="114"/>
    <s v="Célia Torres"/>
    <x v="1"/>
    <d v="2024-06-19T00:00:00"/>
    <x v="1"/>
    <n v="5"/>
    <x v="0"/>
    <s v="No"/>
    <x v="1"/>
    <s v="No"/>
    <n v="0"/>
    <n v="2"/>
    <n v="3"/>
  </r>
  <r>
    <x v="115"/>
    <s v="Diogo Souza"/>
    <x v="0"/>
    <d v="2024-06-20T00:00:00"/>
    <x v="0"/>
    <n v="15"/>
    <x v="1"/>
    <s v="Yes"/>
    <x v="0"/>
    <s v="Yes"/>
    <n v="20"/>
    <n v="5"/>
    <n v="60"/>
  </r>
  <r>
    <x v="116"/>
    <s v="Elisa Castro"/>
    <x v="2"/>
    <d v="2024-06-21T00:00:00"/>
    <x v="1"/>
    <n v="10"/>
    <x v="0"/>
    <s v="No"/>
    <x v="1"/>
    <s v="Yes"/>
    <n v="20"/>
    <n v="10"/>
    <n v="20"/>
  </r>
  <r>
    <x v="117"/>
    <s v="Fátima Lima"/>
    <x v="1"/>
    <d v="2024-06-22T00:00:00"/>
    <x v="0"/>
    <n v="5"/>
    <x v="2"/>
    <s v="No"/>
    <x v="1"/>
    <s v="No"/>
    <n v="0"/>
    <n v="0"/>
    <n v="5"/>
  </r>
  <r>
    <x v="118"/>
    <s v="Geraldo Ribeiro"/>
    <x v="0"/>
    <d v="2024-06-23T00:00:00"/>
    <x v="1"/>
    <n v="15"/>
    <x v="0"/>
    <s v="Yes"/>
    <x v="0"/>
    <s v="Yes"/>
    <n v="20"/>
    <n v="3"/>
    <n v="62"/>
  </r>
  <r>
    <x v="119"/>
    <s v="Hélio Martins"/>
    <x v="2"/>
    <d v="2024-06-24T00:00:00"/>
    <x v="0"/>
    <n v="10"/>
    <x v="1"/>
    <s v="No"/>
    <x v="1"/>
    <s v="Yes"/>
    <n v="20"/>
    <n v="15"/>
    <n v="15"/>
  </r>
  <r>
    <x v="120"/>
    <s v="Íris Santos"/>
    <x v="1"/>
    <d v="2024-06-25T00:00:00"/>
    <x v="1"/>
    <n v="5"/>
    <x v="0"/>
    <s v="No"/>
    <x v="1"/>
    <s v="No"/>
    <n v="0"/>
    <n v="1"/>
    <n v="4"/>
  </r>
  <r>
    <x v="121"/>
    <s v="João Marcelo"/>
    <x v="0"/>
    <d v="2024-06-26T00:00:00"/>
    <x v="0"/>
    <n v="15"/>
    <x v="2"/>
    <s v="Yes"/>
    <x v="0"/>
    <s v="Yes"/>
    <n v="20"/>
    <n v="7"/>
    <n v="58"/>
  </r>
  <r>
    <x v="122"/>
    <s v="Larissa Gomes"/>
    <x v="2"/>
    <d v="2024-06-27T00:00:00"/>
    <x v="1"/>
    <n v="10"/>
    <x v="0"/>
    <s v="No"/>
    <x v="1"/>
    <s v="Yes"/>
    <n v="20"/>
    <n v="10"/>
    <n v="20"/>
  </r>
  <r>
    <x v="123"/>
    <s v="Márcio Silva"/>
    <x v="1"/>
    <d v="2024-06-28T00:00:00"/>
    <x v="0"/>
    <n v="5"/>
    <x v="1"/>
    <s v="No"/>
    <x v="1"/>
    <s v="No"/>
    <n v="0"/>
    <n v="0"/>
    <n v="5"/>
  </r>
  <r>
    <x v="124"/>
    <s v="Nadia Costa"/>
    <x v="0"/>
    <d v="2024-06-29T00:00:00"/>
    <x v="1"/>
    <n v="15"/>
    <x v="0"/>
    <s v="Yes"/>
    <x v="0"/>
    <s v="Yes"/>
    <n v="20"/>
    <n v="20"/>
    <n v="45"/>
  </r>
  <r>
    <x v="125"/>
    <s v="Oscar Almeida"/>
    <x v="2"/>
    <d v="2024-06-30T00:00:00"/>
    <x v="0"/>
    <n v="10"/>
    <x v="2"/>
    <s v="No"/>
    <x v="1"/>
    <s v="Yes"/>
    <n v="20"/>
    <n v="15"/>
    <n v="15"/>
  </r>
  <r>
    <x v="126"/>
    <s v="Patricia Soares"/>
    <x v="1"/>
    <d v="2024-07-01T00:00:00"/>
    <x v="1"/>
    <n v="5"/>
    <x v="0"/>
    <s v="No"/>
    <x v="1"/>
    <s v="No"/>
    <n v="0"/>
    <n v="1"/>
    <n v="4"/>
  </r>
  <r>
    <x v="127"/>
    <s v="Quênia Barros"/>
    <x v="0"/>
    <d v="2024-07-02T00:00:00"/>
    <x v="0"/>
    <n v="15"/>
    <x v="1"/>
    <s v="Yes"/>
    <x v="0"/>
    <s v="Yes"/>
    <n v="20"/>
    <n v="3"/>
    <n v="62"/>
  </r>
  <r>
    <x v="128"/>
    <s v="Rafael Torres"/>
    <x v="2"/>
    <d v="2024-07-03T00:00:00"/>
    <x v="1"/>
    <n v="10"/>
    <x v="0"/>
    <s v="No"/>
    <x v="1"/>
    <s v="Yes"/>
    <n v="20"/>
    <n v="10"/>
    <n v="20"/>
  </r>
  <r>
    <x v="129"/>
    <s v="Silvia Nascimento"/>
    <x v="1"/>
    <d v="2024-07-04T00:00:00"/>
    <x v="0"/>
    <n v="5"/>
    <x v="2"/>
    <s v="No"/>
    <x v="1"/>
    <s v="No"/>
    <n v="0"/>
    <n v="0"/>
    <n v="5"/>
  </r>
  <r>
    <x v="130"/>
    <s v="Tiago Mendes"/>
    <x v="0"/>
    <d v="2024-07-05T00:00:00"/>
    <x v="1"/>
    <n v="15"/>
    <x v="0"/>
    <s v="Yes"/>
    <x v="0"/>
    <s v="Yes"/>
    <n v="20"/>
    <n v="15"/>
    <n v="50"/>
  </r>
  <r>
    <x v="131"/>
    <s v="Ursula Silva"/>
    <x v="2"/>
    <d v="2024-07-06T00:00:00"/>
    <x v="0"/>
    <n v="10"/>
    <x v="1"/>
    <s v="No"/>
    <x v="1"/>
    <s v="Yes"/>
    <n v="20"/>
    <n v="15"/>
    <n v="15"/>
  </r>
  <r>
    <x v="132"/>
    <s v="Vanessa Moraes"/>
    <x v="1"/>
    <d v="2024-07-07T00:00:00"/>
    <x v="1"/>
    <n v="5"/>
    <x v="0"/>
    <s v="No"/>
    <x v="1"/>
    <s v="No"/>
    <n v="0"/>
    <n v="1"/>
    <n v="4"/>
  </r>
  <r>
    <x v="133"/>
    <s v="Waldir Junior"/>
    <x v="0"/>
    <d v="2024-07-08T00:00:00"/>
    <x v="0"/>
    <n v="15"/>
    <x v="2"/>
    <s v="Yes"/>
    <x v="0"/>
    <s v="Yes"/>
    <n v="20"/>
    <n v="7"/>
    <n v="58"/>
  </r>
  <r>
    <x v="134"/>
    <s v="Xavier Lopes"/>
    <x v="2"/>
    <d v="2024-07-09T00:00:00"/>
    <x v="1"/>
    <n v="10"/>
    <x v="0"/>
    <s v="No"/>
    <x v="1"/>
    <s v="Yes"/>
    <n v="20"/>
    <n v="10"/>
    <n v="20"/>
  </r>
  <r>
    <x v="135"/>
    <s v="Yolanda Freitas"/>
    <x v="1"/>
    <d v="2024-07-10T00:00:00"/>
    <x v="0"/>
    <n v="5"/>
    <x v="0"/>
    <s v="No"/>
    <x v="1"/>
    <s v="No"/>
    <n v="0"/>
    <n v="0"/>
    <n v="5"/>
  </r>
  <r>
    <x v="136"/>
    <s v="Zacarias Nunes"/>
    <x v="0"/>
    <d v="2024-07-11T00:00:00"/>
    <x v="1"/>
    <n v="15"/>
    <x v="2"/>
    <s v="Yes"/>
    <x v="0"/>
    <s v="Yes"/>
    <n v="20"/>
    <n v="7"/>
    <n v="58"/>
  </r>
  <r>
    <x v="137"/>
    <s v="Ana Clara Barreto"/>
    <x v="2"/>
    <d v="2024-07-12T00:00:00"/>
    <x v="0"/>
    <n v="10"/>
    <x v="1"/>
    <s v="No"/>
    <x v="1"/>
    <s v="Yes"/>
    <n v="20"/>
    <n v="10"/>
    <n v="20"/>
  </r>
  <r>
    <x v="138"/>
    <s v="Bruno Henrique"/>
    <x v="1"/>
    <d v="2024-07-13T00:00:00"/>
    <x v="1"/>
    <n v="5"/>
    <x v="2"/>
    <s v="No"/>
    <x v="1"/>
    <s v="No"/>
    <n v="0"/>
    <n v="1"/>
    <n v="4"/>
  </r>
  <r>
    <x v="139"/>
    <s v="Carlos Eduardo"/>
    <x v="0"/>
    <d v="2024-07-14T00:00:00"/>
    <x v="0"/>
    <n v="15"/>
    <x v="0"/>
    <s v="Yes"/>
    <x v="0"/>
    <s v="Yes"/>
    <n v="20"/>
    <n v="15"/>
    <n v="50"/>
  </r>
  <r>
    <x v="140"/>
    <s v="Débora Lima"/>
    <x v="2"/>
    <d v="2024-07-15T00:00:00"/>
    <x v="1"/>
    <n v="10"/>
    <x v="0"/>
    <s v="No"/>
    <x v="1"/>
    <s v="Yes"/>
    <n v="20"/>
    <n v="5"/>
    <n v="25"/>
  </r>
  <r>
    <x v="141"/>
    <s v="Elisa Neves"/>
    <x v="1"/>
    <d v="2024-07-16T00:00:00"/>
    <x v="0"/>
    <n v="5"/>
    <x v="1"/>
    <s v="No"/>
    <x v="1"/>
    <s v="No"/>
    <n v="0"/>
    <n v="0"/>
    <n v="5"/>
  </r>
  <r>
    <x v="142"/>
    <s v="Fabiano Gomes"/>
    <x v="0"/>
    <d v="2024-07-17T00:00:00"/>
    <x v="1"/>
    <n v="15"/>
    <x v="2"/>
    <s v="Yes"/>
    <x v="0"/>
    <s v="Yes"/>
    <n v="20"/>
    <n v="20"/>
    <n v="45"/>
  </r>
  <r>
    <x v="143"/>
    <s v="Gisele Oliveira"/>
    <x v="2"/>
    <d v="2024-07-18T00:00:00"/>
    <x v="0"/>
    <n v="10"/>
    <x v="2"/>
    <s v="No"/>
    <x v="1"/>
    <s v="Yes"/>
    <n v="20"/>
    <n v="12"/>
    <n v="18"/>
  </r>
  <r>
    <x v="144"/>
    <s v="Héctor Silva"/>
    <x v="1"/>
    <d v="2024-07-19T00:00:00"/>
    <x v="1"/>
    <n v="5"/>
    <x v="0"/>
    <s v="No"/>
    <x v="1"/>
    <s v="No"/>
    <n v="0"/>
    <n v="2"/>
    <n v="3"/>
  </r>
  <r>
    <x v="145"/>
    <s v="Igor Martins"/>
    <x v="0"/>
    <d v="2024-07-20T00:00:00"/>
    <x v="0"/>
    <n v="15"/>
    <x v="1"/>
    <s v="Yes"/>
    <x v="0"/>
    <s v="Yes"/>
    <n v="20"/>
    <n v="5"/>
    <n v="60"/>
  </r>
  <r>
    <x v="146"/>
    <s v="Joana Figueiredo"/>
    <x v="2"/>
    <d v="2024-07-21T00:00:00"/>
    <x v="1"/>
    <n v="10"/>
    <x v="0"/>
    <s v="No"/>
    <x v="1"/>
    <s v="Yes"/>
    <n v="20"/>
    <n v="10"/>
    <n v="20"/>
  </r>
  <r>
    <x v="147"/>
    <s v="Kleber Machado"/>
    <x v="1"/>
    <d v="2024-07-22T00:00:00"/>
    <x v="0"/>
    <n v="5"/>
    <x v="2"/>
    <s v="No"/>
    <x v="1"/>
    <s v="No"/>
    <n v="0"/>
    <n v="0"/>
    <n v="5"/>
  </r>
  <r>
    <x v="148"/>
    <s v="Luciana Santos"/>
    <x v="0"/>
    <d v="2024-07-23T00:00:00"/>
    <x v="1"/>
    <n v="15"/>
    <x v="0"/>
    <s v="Yes"/>
    <x v="0"/>
    <s v="Yes"/>
    <n v="20"/>
    <n v="3"/>
    <n v="62"/>
  </r>
  <r>
    <x v="149"/>
    <s v="Marcos Teixeira"/>
    <x v="2"/>
    <d v="2024-07-24T00:00:00"/>
    <x v="0"/>
    <n v="10"/>
    <x v="1"/>
    <s v="No"/>
    <x v="1"/>
    <s v="Yes"/>
    <n v="20"/>
    <n v="15"/>
    <n v="15"/>
  </r>
  <r>
    <x v="150"/>
    <s v="Natalia Costa"/>
    <x v="1"/>
    <d v="2024-07-25T00:00:00"/>
    <x v="1"/>
    <n v="5"/>
    <x v="0"/>
    <s v="No"/>
    <x v="1"/>
    <s v="No"/>
    <n v="0"/>
    <n v="1"/>
    <n v="4"/>
  </r>
  <r>
    <x v="151"/>
    <s v="Oscar Ribeiro"/>
    <x v="0"/>
    <d v="2024-07-26T00:00:00"/>
    <x v="0"/>
    <n v="15"/>
    <x v="2"/>
    <s v="Yes"/>
    <x v="0"/>
    <s v="Yes"/>
    <n v="20"/>
    <n v="7"/>
    <n v="58"/>
  </r>
  <r>
    <x v="152"/>
    <s v="Patricia Almeida"/>
    <x v="2"/>
    <d v="2024-07-27T00:00:00"/>
    <x v="1"/>
    <n v="10"/>
    <x v="0"/>
    <s v="No"/>
    <x v="1"/>
    <s v="Yes"/>
    <n v="20"/>
    <n v="10"/>
    <n v="20"/>
  </r>
  <r>
    <x v="153"/>
    <s v="Quirino Junior"/>
    <x v="1"/>
    <d v="2024-07-28T00:00:00"/>
    <x v="0"/>
    <n v="5"/>
    <x v="1"/>
    <s v="No"/>
    <x v="1"/>
    <s v="No"/>
    <n v="0"/>
    <n v="0"/>
    <n v="5"/>
  </r>
  <r>
    <x v="154"/>
    <s v="Renata Machado"/>
    <x v="0"/>
    <d v="2024-07-29T00:00:00"/>
    <x v="1"/>
    <n v="15"/>
    <x v="0"/>
    <s v="Yes"/>
    <x v="0"/>
    <s v="Yes"/>
    <n v="20"/>
    <n v="20"/>
    <n v="45"/>
  </r>
  <r>
    <x v="155"/>
    <s v="Sônia Alves"/>
    <x v="2"/>
    <d v="2024-07-30T00:00:00"/>
    <x v="0"/>
    <n v="10"/>
    <x v="2"/>
    <s v="No"/>
    <x v="1"/>
    <s v="Yes"/>
    <n v="20"/>
    <n v="15"/>
    <n v="15"/>
  </r>
  <r>
    <x v="156"/>
    <s v="Tiago Nunes"/>
    <x v="1"/>
    <d v="2024-07-31T00:00:00"/>
    <x v="1"/>
    <n v="5"/>
    <x v="0"/>
    <s v="No"/>
    <x v="1"/>
    <s v="No"/>
    <n v="0"/>
    <n v="1"/>
    <n v="4"/>
  </r>
  <r>
    <x v="157"/>
    <s v="Ulysses Pereira"/>
    <x v="0"/>
    <d v="2024-08-01T00:00:00"/>
    <x v="0"/>
    <n v="15"/>
    <x v="1"/>
    <s v="Yes"/>
    <x v="0"/>
    <s v="Yes"/>
    <n v="20"/>
    <n v="3"/>
    <n v="62"/>
  </r>
  <r>
    <x v="158"/>
    <s v="Vanessa Lima"/>
    <x v="2"/>
    <d v="2024-08-02T00:00:00"/>
    <x v="1"/>
    <n v="10"/>
    <x v="0"/>
    <s v="No"/>
    <x v="1"/>
    <s v="Yes"/>
    <n v="20"/>
    <n v="10"/>
    <n v="20"/>
  </r>
  <r>
    <x v="159"/>
    <s v="Wagner Santos"/>
    <x v="1"/>
    <d v="2024-08-03T00:00:00"/>
    <x v="0"/>
    <n v="5"/>
    <x v="2"/>
    <s v="No"/>
    <x v="1"/>
    <s v="No"/>
    <n v="0"/>
    <n v="0"/>
    <n v="5"/>
  </r>
  <r>
    <x v="160"/>
    <s v="Xuxa Meneghel"/>
    <x v="0"/>
    <d v="2024-08-04T00:00:00"/>
    <x v="1"/>
    <n v="15"/>
    <x v="0"/>
    <s v="Yes"/>
    <x v="0"/>
    <s v="Yes"/>
    <n v="20"/>
    <n v="15"/>
    <n v="50"/>
  </r>
  <r>
    <x v="161"/>
    <s v="Yasmin Silva"/>
    <x v="2"/>
    <d v="2024-08-05T00:00:00"/>
    <x v="0"/>
    <n v="10"/>
    <x v="1"/>
    <s v="No"/>
    <x v="1"/>
    <s v="Yes"/>
    <n v="20"/>
    <n v="15"/>
    <n v="15"/>
  </r>
  <r>
    <x v="162"/>
    <s v="Zacarias de Souza"/>
    <x v="1"/>
    <d v="2024-08-06T00:00:00"/>
    <x v="1"/>
    <n v="5"/>
    <x v="0"/>
    <s v="No"/>
    <x v="1"/>
    <s v="No"/>
    <n v="0"/>
    <n v="1"/>
    <n v="4"/>
  </r>
  <r>
    <x v="163"/>
    <s v="André Lima"/>
    <x v="0"/>
    <d v="2024-08-07T00:00:00"/>
    <x v="0"/>
    <n v="15"/>
    <x v="2"/>
    <s v="Yes"/>
    <x v="0"/>
    <s v="Yes"/>
    <n v="20"/>
    <n v="7"/>
    <n v="58"/>
  </r>
  <r>
    <x v="164"/>
    <s v="Bianca Freitas"/>
    <x v="2"/>
    <d v="2024-08-08T00:00:00"/>
    <x v="1"/>
    <n v="10"/>
    <x v="0"/>
    <s v="No"/>
    <x v="1"/>
    <s v="Yes"/>
    <n v="20"/>
    <n v="10"/>
    <n v="20"/>
  </r>
  <r>
    <x v="165"/>
    <s v="Caio Mendes"/>
    <x v="1"/>
    <d v="2024-08-09T00:00:00"/>
    <x v="0"/>
    <n v="5"/>
    <x v="1"/>
    <s v="No"/>
    <x v="1"/>
    <s v="No"/>
    <n v="0"/>
    <n v="0"/>
    <n v="5"/>
  </r>
  <r>
    <x v="166"/>
    <s v="Daniela Moura"/>
    <x v="0"/>
    <d v="2024-08-10T00:00:00"/>
    <x v="1"/>
    <n v="15"/>
    <x v="0"/>
    <s v="Yes"/>
    <x v="0"/>
    <s v="Yes"/>
    <n v="20"/>
    <n v="20"/>
    <n v="45"/>
  </r>
  <r>
    <x v="167"/>
    <s v="Eduardo Costa"/>
    <x v="2"/>
    <d v="2024-08-11T00:00:00"/>
    <x v="0"/>
    <n v="10"/>
    <x v="2"/>
    <s v="No"/>
    <x v="1"/>
    <s v="Yes"/>
    <n v="20"/>
    <n v="15"/>
    <n v="15"/>
  </r>
  <r>
    <x v="168"/>
    <s v="Fernanda Gomes"/>
    <x v="1"/>
    <d v="2024-08-12T00:00:00"/>
    <x v="1"/>
    <n v="5"/>
    <x v="0"/>
    <s v="No"/>
    <x v="1"/>
    <s v="No"/>
    <n v="0"/>
    <n v="1"/>
    <n v="4"/>
  </r>
  <r>
    <x v="169"/>
    <s v="Guilherme Souza"/>
    <x v="0"/>
    <d v="2024-08-13T00:00:00"/>
    <x v="0"/>
    <n v="15"/>
    <x v="1"/>
    <s v="Yes"/>
    <x v="0"/>
    <s v="Yes"/>
    <n v="20"/>
    <n v="5"/>
    <n v="60"/>
  </r>
  <r>
    <x v="170"/>
    <s v="Helena Ribeiro"/>
    <x v="2"/>
    <d v="2024-08-14T00:00:00"/>
    <x v="1"/>
    <n v="10"/>
    <x v="0"/>
    <s v="No"/>
    <x v="1"/>
    <s v="Yes"/>
    <n v="20"/>
    <n v="10"/>
    <n v="20"/>
  </r>
  <r>
    <x v="171"/>
    <s v="Igor Santos"/>
    <x v="1"/>
    <d v="2024-08-15T00:00:00"/>
    <x v="0"/>
    <n v="5"/>
    <x v="2"/>
    <s v="No"/>
    <x v="1"/>
    <s v="No"/>
    <n v="0"/>
    <n v="0"/>
    <n v="5"/>
  </r>
  <r>
    <x v="172"/>
    <s v="João Carvalho"/>
    <x v="0"/>
    <d v="2024-08-16T00:00:00"/>
    <x v="1"/>
    <n v="15"/>
    <x v="0"/>
    <s v="Yes"/>
    <x v="0"/>
    <s v="Yes"/>
    <n v="20"/>
    <n v="3"/>
    <n v="62"/>
  </r>
  <r>
    <x v="173"/>
    <s v="Klara Fagundes"/>
    <x v="2"/>
    <d v="2024-08-17T00:00:00"/>
    <x v="0"/>
    <n v="10"/>
    <x v="1"/>
    <s v="No"/>
    <x v="1"/>
    <s v="Yes"/>
    <n v="20"/>
    <n v="15"/>
    <n v="15"/>
  </r>
  <r>
    <x v="174"/>
    <s v="Lúcia Mendonça"/>
    <x v="1"/>
    <d v="2024-08-18T00:00:00"/>
    <x v="1"/>
    <n v="5"/>
    <x v="0"/>
    <s v="No"/>
    <x v="1"/>
    <s v="No"/>
    <n v="0"/>
    <n v="1"/>
    <n v="4"/>
  </r>
  <r>
    <x v="175"/>
    <s v="Marcelo Novaes"/>
    <x v="1"/>
    <d v="2024-08-19T00:00:00"/>
    <x v="0"/>
    <n v="5"/>
    <x v="0"/>
    <s v="No"/>
    <x v="1"/>
    <s v="No"/>
    <n v="0"/>
    <n v="0"/>
    <n v="5"/>
  </r>
  <r>
    <x v="176"/>
    <s v="Nina Pacheco"/>
    <x v="0"/>
    <d v="2024-08-20T00:00:00"/>
    <x v="1"/>
    <n v="15"/>
    <x v="2"/>
    <s v="Yes"/>
    <x v="0"/>
    <s v="Yes"/>
    <n v="20"/>
    <n v="7"/>
    <n v="58"/>
  </r>
  <r>
    <x v="177"/>
    <s v="Olívia Rios"/>
    <x v="2"/>
    <d v="2024-08-21T00:00:00"/>
    <x v="0"/>
    <n v="10"/>
    <x v="1"/>
    <s v="No"/>
    <x v="1"/>
    <s v="Yes"/>
    <n v="20"/>
    <n v="10"/>
    <n v="20"/>
  </r>
  <r>
    <x v="178"/>
    <s v="Paulo Quintana"/>
    <x v="1"/>
    <d v="2024-08-22T00:00:00"/>
    <x v="1"/>
    <n v="5"/>
    <x v="2"/>
    <s v="No"/>
    <x v="1"/>
    <s v="No"/>
    <n v="0"/>
    <n v="1"/>
    <n v="4"/>
  </r>
  <r>
    <x v="179"/>
    <s v="Raquel Domingos"/>
    <x v="0"/>
    <d v="2024-08-23T00:00:00"/>
    <x v="0"/>
    <n v="15"/>
    <x v="0"/>
    <s v="Yes"/>
    <x v="0"/>
    <s v="Yes"/>
    <n v="20"/>
    <n v="15"/>
    <n v="50"/>
  </r>
  <r>
    <x v="180"/>
    <s v="Samuel Viana"/>
    <x v="2"/>
    <d v="2024-08-24T00:00:00"/>
    <x v="1"/>
    <n v="10"/>
    <x v="0"/>
    <s v="No"/>
    <x v="1"/>
    <s v="Yes"/>
    <n v="20"/>
    <n v="5"/>
    <n v="25"/>
  </r>
  <r>
    <x v="181"/>
    <s v="Tatiane Rocha"/>
    <x v="1"/>
    <d v="2024-08-25T00:00:00"/>
    <x v="0"/>
    <n v="5"/>
    <x v="1"/>
    <s v="No"/>
    <x v="1"/>
    <s v="No"/>
    <n v="0"/>
    <n v="0"/>
    <n v="5"/>
  </r>
  <r>
    <x v="182"/>
    <s v="Ulysses Farias"/>
    <x v="0"/>
    <d v="2024-08-26T00:00:00"/>
    <x v="1"/>
    <n v="15"/>
    <x v="2"/>
    <s v="Yes"/>
    <x v="0"/>
    <s v="Yes"/>
    <n v="20"/>
    <n v="20"/>
    <n v="45"/>
  </r>
  <r>
    <x v="183"/>
    <s v="Vanessa Moreira"/>
    <x v="2"/>
    <d v="2024-08-27T00:00:00"/>
    <x v="0"/>
    <n v="10"/>
    <x v="2"/>
    <s v="No"/>
    <x v="1"/>
    <s v="Yes"/>
    <n v="20"/>
    <n v="12"/>
    <n v="18"/>
  </r>
  <r>
    <x v="184"/>
    <s v="William Carvalho"/>
    <x v="1"/>
    <d v="2024-08-28T00:00:00"/>
    <x v="1"/>
    <n v="5"/>
    <x v="0"/>
    <s v="No"/>
    <x v="1"/>
    <s v="No"/>
    <n v="0"/>
    <n v="2"/>
    <n v="3"/>
  </r>
  <r>
    <x v="185"/>
    <s v="Ximena Barros"/>
    <x v="0"/>
    <d v="2024-08-29T00:00:00"/>
    <x v="0"/>
    <n v="15"/>
    <x v="1"/>
    <s v="Yes"/>
    <x v="0"/>
    <s v="Yes"/>
    <n v="20"/>
    <n v="5"/>
    <n v="60"/>
  </r>
  <r>
    <x v="186"/>
    <s v="Yara Machado"/>
    <x v="2"/>
    <d v="2024-08-30T00:00:00"/>
    <x v="1"/>
    <n v="10"/>
    <x v="0"/>
    <s v="No"/>
    <x v="1"/>
    <s v="Yes"/>
    <n v="20"/>
    <n v="10"/>
    <n v="20"/>
  </r>
  <r>
    <x v="187"/>
    <s v="Zacarias Costa"/>
    <x v="1"/>
    <d v="2024-08-31T00:00:00"/>
    <x v="0"/>
    <n v="5"/>
    <x v="2"/>
    <s v="No"/>
    <x v="1"/>
    <s v="No"/>
    <n v="0"/>
    <n v="0"/>
    <n v="5"/>
  </r>
  <r>
    <x v="188"/>
    <s v="André Lopes"/>
    <x v="0"/>
    <d v="2024-09-01T00:00:00"/>
    <x v="1"/>
    <n v="15"/>
    <x v="0"/>
    <s v="Yes"/>
    <x v="0"/>
    <s v="Yes"/>
    <n v="20"/>
    <n v="3"/>
    <n v="62"/>
  </r>
  <r>
    <x v="189"/>
    <s v="Beatriz Souza"/>
    <x v="2"/>
    <d v="2024-09-02T00:00:00"/>
    <x v="0"/>
    <n v="10"/>
    <x v="1"/>
    <s v="No"/>
    <x v="1"/>
    <s v="Yes"/>
    <n v="20"/>
    <n v="15"/>
    <n v="15"/>
  </r>
  <r>
    <x v="190"/>
    <s v="Caio Pereira"/>
    <x v="1"/>
    <d v="2024-09-03T00:00:00"/>
    <x v="1"/>
    <n v="5"/>
    <x v="0"/>
    <s v="No"/>
    <x v="1"/>
    <s v="No"/>
    <n v="0"/>
    <n v="1"/>
    <n v="4"/>
  </r>
  <r>
    <x v="191"/>
    <s v="Daniela Araújo"/>
    <x v="0"/>
    <d v="2024-09-04T00:00:00"/>
    <x v="0"/>
    <n v="15"/>
    <x v="2"/>
    <s v="Yes"/>
    <x v="0"/>
    <s v="Yes"/>
    <n v="20"/>
    <n v="7"/>
    <n v="58"/>
  </r>
  <r>
    <x v="192"/>
    <s v="Eduardo Santos"/>
    <x v="2"/>
    <d v="2024-09-05T00:00:00"/>
    <x v="1"/>
    <n v="10"/>
    <x v="0"/>
    <s v="No"/>
    <x v="1"/>
    <s v="Yes"/>
    <n v="20"/>
    <n v="10"/>
    <n v="20"/>
  </r>
  <r>
    <x v="193"/>
    <s v="Fernanda Lima"/>
    <x v="1"/>
    <d v="2024-09-06T00:00:00"/>
    <x v="0"/>
    <n v="5"/>
    <x v="1"/>
    <s v="No"/>
    <x v="1"/>
    <s v="No"/>
    <n v="0"/>
    <n v="0"/>
    <n v="5"/>
  </r>
  <r>
    <x v="194"/>
    <s v="Gabriel Teixeira"/>
    <x v="0"/>
    <d v="2024-09-07T00:00:00"/>
    <x v="1"/>
    <n v="15"/>
    <x v="0"/>
    <s v="Yes"/>
    <x v="0"/>
    <s v="Yes"/>
    <n v="20"/>
    <n v="20"/>
    <n v="45"/>
  </r>
  <r>
    <x v="195"/>
    <s v="Helena Ribeiro"/>
    <x v="2"/>
    <d v="2024-09-08T00:00:00"/>
    <x v="0"/>
    <n v="10"/>
    <x v="2"/>
    <s v="No"/>
    <x v="1"/>
    <s v="Yes"/>
    <n v="20"/>
    <n v="15"/>
    <n v="15"/>
  </r>
  <r>
    <x v="196"/>
    <s v="Igor Mendes"/>
    <x v="1"/>
    <d v="2024-09-09T00:00:00"/>
    <x v="1"/>
    <n v="5"/>
    <x v="0"/>
    <s v="No"/>
    <x v="1"/>
    <s v="No"/>
    <n v="0"/>
    <n v="1"/>
    <n v="4"/>
  </r>
  <r>
    <x v="197"/>
    <s v="Joana Silveira"/>
    <x v="0"/>
    <d v="2024-09-10T00:00:00"/>
    <x v="0"/>
    <n v="15"/>
    <x v="1"/>
    <s v="Yes"/>
    <x v="0"/>
    <s v="Yes"/>
    <n v="20"/>
    <n v="3"/>
    <n v="62"/>
  </r>
  <r>
    <x v="198"/>
    <s v="Lucas Martins"/>
    <x v="2"/>
    <d v="2024-09-11T00:00:00"/>
    <x v="1"/>
    <n v="10"/>
    <x v="0"/>
    <s v="No"/>
    <x v="1"/>
    <s v="Yes"/>
    <n v="20"/>
    <n v="10"/>
    <n v="20"/>
  </r>
  <r>
    <x v="199"/>
    <s v="Marcela Gouveia"/>
    <x v="1"/>
    <d v="2024-09-12T00:00:00"/>
    <x v="0"/>
    <n v="5"/>
    <x v="2"/>
    <s v="No"/>
    <x v="1"/>
    <s v="No"/>
    <n v="0"/>
    <n v="0"/>
    <n v="5"/>
  </r>
  <r>
    <x v="200"/>
    <s v="Nicolas Borges"/>
    <x v="0"/>
    <d v="2024-09-13T00:00:00"/>
    <x v="1"/>
    <n v="15"/>
    <x v="0"/>
    <s v="Yes"/>
    <x v="0"/>
    <s v="Yes"/>
    <n v="20"/>
    <n v="15"/>
    <n v="50"/>
  </r>
  <r>
    <x v="201"/>
    <s v="Olivia Freitas"/>
    <x v="2"/>
    <d v="2024-09-14T00:00:00"/>
    <x v="0"/>
    <n v="10"/>
    <x v="1"/>
    <s v="No"/>
    <x v="1"/>
    <s v="Yes"/>
    <n v="20"/>
    <n v="15"/>
    <n v="15"/>
  </r>
  <r>
    <x v="202"/>
    <s v="Paulo Nogueira"/>
    <x v="1"/>
    <d v="2024-09-15T00:00:00"/>
    <x v="1"/>
    <n v="5"/>
    <x v="0"/>
    <s v="No"/>
    <x v="1"/>
    <s v="No"/>
    <n v="0"/>
    <n v="1"/>
    <n v="4"/>
  </r>
  <r>
    <x v="203"/>
    <s v="Raquel Andrade"/>
    <x v="0"/>
    <d v="2024-09-16T00:00:00"/>
    <x v="0"/>
    <n v="15"/>
    <x v="2"/>
    <s v="Yes"/>
    <x v="0"/>
    <s v="Yes"/>
    <n v="20"/>
    <n v="7"/>
    <n v="58"/>
  </r>
  <r>
    <x v="204"/>
    <s v="Sônia Carvalho"/>
    <x v="2"/>
    <d v="2024-09-17T00:00:00"/>
    <x v="1"/>
    <n v="10"/>
    <x v="0"/>
    <s v="No"/>
    <x v="1"/>
    <s v="Yes"/>
    <n v="20"/>
    <n v="10"/>
    <n v="20"/>
  </r>
  <r>
    <x v="205"/>
    <s v="Tiago Rodrigues"/>
    <x v="1"/>
    <d v="2024-09-18T00:00:00"/>
    <x v="0"/>
    <n v="5"/>
    <x v="0"/>
    <s v="No"/>
    <x v="1"/>
    <s v="No"/>
    <n v="0"/>
    <n v="0"/>
    <n v="5"/>
  </r>
  <r>
    <x v="206"/>
    <s v="Ursula Monteiro"/>
    <x v="0"/>
    <d v="2024-09-19T00:00:00"/>
    <x v="1"/>
    <n v="15"/>
    <x v="2"/>
    <s v="Yes"/>
    <x v="0"/>
    <s v="Yes"/>
    <n v="20"/>
    <n v="7"/>
    <n v="58"/>
  </r>
  <r>
    <x v="207"/>
    <s v="Vanessa Pereira"/>
    <x v="2"/>
    <d v="2024-09-20T00:00:00"/>
    <x v="0"/>
    <n v="10"/>
    <x v="1"/>
    <s v="No"/>
    <x v="1"/>
    <s v="Yes"/>
    <n v="20"/>
    <n v="10"/>
    <n v="20"/>
  </r>
  <r>
    <x v="208"/>
    <s v="Walter Silva"/>
    <x v="1"/>
    <d v="2024-09-21T00:00:00"/>
    <x v="1"/>
    <n v="5"/>
    <x v="2"/>
    <s v="No"/>
    <x v="1"/>
    <s v="No"/>
    <n v="0"/>
    <n v="1"/>
    <n v="4"/>
  </r>
  <r>
    <x v="209"/>
    <s v="Xavier Almeida"/>
    <x v="0"/>
    <d v="2024-09-22T00:00:00"/>
    <x v="0"/>
    <n v="15"/>
    <x v="0"/>
    <s v="Yes"/>
    <x v="0"/>
    <s v="Yes"/>
    <n v="20"/>
    <n v="15"/>
    <n v="50"/>
  </r>
  <r>
    <x v="210"/>
    <s v="Yasmine Correia"/>
    <x v="2"/>
    <d v="2024-09-23T00:00:00"/>
    <x v="1"/>
    <n v="10"/>
    <x v="0"/>
    <s v="No"/>
    <x v="1"/>
    <s v="Yes"/>
    <n v="20"/>
    <n v="5"/>
    <n v="25"/>
  </r>
  <r>
    <x v="211"/>
    <s v="Zacarias Almeida"/>
    <x v="1"/>
    <d v="2024-09-24T00:00:00"/>
    <x v="0"/>
    <n v="5"/>
    <x v="1"/>
    <s v="No"/>
    <x v="1"/>
    <s v="No"/>
    <n v="0"/>
    <n v="0"/>
    <n v="5"/>
  </r>
  <r>
    <x v="212"/>
    <s v="Amanda Costa"/>
    <x v="0"/>
    <d v="2024-09-25T00:00:00"/>
    <x v="1"/>
    <n v="15"/>
    <x v="2"/>
    <s v="Yes"/>
    <x v="0"/>
    <s v="Yes"/>
    <n v="20"/>
    <n v="20"/>
    <n v="45"/>
  </r>
  <r>
    <x v="213"/>
    <s v="Bruno Ferreira"/>
    <x v="2"/>
    <d v="2024-09-26T00:00:00"/>
    <x v="0"/>
    <n v="10"/>
    <x v="2"/>
    <s v="No"/>
    <x v="1"/>
    <s v="Yes"/>
    <n v="20"/>
    <n v="12"/>
    <n v="18"/>
  </r>
  <r>
    <x v="214"/>
    <s v="Carla Dias"/>
    <x v="1"/>
    <d v="2024-09-27T00:00:00"/>
    <x v="1"/>
    <n v="5"/>
    <x v="0"/>
    <s v="No"/>
    <x v="1"/>
    <s v="No"/>
    <n v="0"/>
    <n v="2"/>
    <n v="3"/>
  </r>
  <r>
    <x v="215"/>
    <s v="Diogo Martins"/>
    <x v="0"/>
    <d v="2024-09-28T00:00:00"/>
    <x v="0"/>
    <n v="15"/>
    <x v="1"/>
    <s v="Yes"/>
    <x v="0"/>
    <s v="Yes"/>
    <n v="20"/>
    <n v="5"/>
    <n v="60"/>
  </r>
  <r>
    <x v="216"/>
    <s v="Elisa Campos"/>
    <x v="2"/>
    <d v="2024-09-29T00:00:00"/>
    <x v="1"/>
    <n v="10"/>
    <x v="0"/>
    <s v="No"/>
    <x v="1"/>
    <s v="Yes"/>
    <n v="20"/>
    <n v="10"/>
    <n v="20"/>
  </r>
  <r>
    <x v="217"/>
    <s v="Fabiana Lima"/>
    <x v="1"/>
    <d v="2024-09-30T00:00:00"/>
    <x v="0"/>
    <n v="5"/>
    <x v="2"/>
    <s v="No"/>
    <x v="1"/>
    <s v="No"/>
    <n v="0"/>
    <n v="0"/>
    <n v="5"/>
  </r>
  <r>
    <x v="218"/>
    <s v="Gabriel Santos"/>
    <x v="0"/>
    <d v="2024-10-01T00:00:00"/>
    <x v="1"/>
    <n v="15"/>
    <x v="0"/>
    <s v="Yes"/>
    <x v="0"/>
    <s v="Yes"/>
    <n v="20"/>
    <n v="3"/>
    <n v="62"/>
  </r>
  <r>
    <x v="219"/>
    <s v="Helena Ferreira"/>
    <x v="2"/>
    <d v="2024-10-02T00:00:00"/>
    <x v="0"/>
    <n v="10"/>
    <x v="1"/>
    <s v="No"/>
    <x v="1"/>
    <s v="Yes"/>
    <n v="20"/>
    <n v="15"/>
    <n v="15"/>
  </r>
  <r>
    <x v="220"/>
    <s v="Ígor Nunes"/>
    <x v="1"/>
    <d v="2024-10-03T00:00:00"/>
    <x v="1"/>
    <n v="5"/>
    <x v="0"/>
    <s v="No"/>
    <x v="1"/>
    <s v="No"/>
    <n v="0"/>
    <n v="1"/>
    <n v="4"/>
  </r>
  <r>
    <x v="221"/>
    <s v="Joana Silveira"/>
    <x v="0"/>
    <d v="2024-10-04T00:00:00"/>
    <x v="0"/>
    <n v="15"/>
    <x v="2"/>
    <s v="Yes"/>
    <x v="0"/>
    <s v="Yes"/>
    <n v="20"/>
    <n v="7"/>
    <n v="58"/>
  </r>
  <r>
    <x v="222"/>
    <s v="Kléber Oliveira"/>
    <x v="2"/>
    <d v="2024-10-05T00:00:00"/>
    <x v="1"/>
    <n v="10"/>
    <x v="0"/>
    <s v="No"/>
    <x v="1"/>
    <s v="Yes"/>
    <n v="20"/>
    <n v="10"/>
    <n v="20"/>
  </r>
  <r>
    <x v="223"/>
    <s v="Luciana Morais"/>
    <x v="1"/>
    <d v="2024-10-06T00:00:00"/>
    <x v="0"/>
    <n v="5"/>
    <x v="1"/>
    <s v="No"/>
    <x v="1"/>
    <s v="No"/>
    <n v="0"/>
    <n v="0"/>
    <n v="5"/>
  </r>
  <r>
    <x v="224"/>
    <s v="Marcos Vinícius"/>
    <x v="0"/>
    <d v="2024-10-07T00:00:00"/>
    <x v="1"/>
    <n v="15"/>
    <x v="0"/>
    <s v="Yes"/>
    <x v="0"/>
    <s v="Yes"/>
    <n v="20"/>
    <n v="20"/>
    <n v="45"/>
  </r>
  <r>
    <x v="225"/>
    <s v="Natália Barros"/>
    <x v="2"/>
    <d v="2024-10-08T00:00:00"/>
    <x v="0"/>
    <n v="10"/>
    <x v="2"/>
    <s v="No"/>
    <x v="1"/>
    <s v="Yes"/>
    <n v="20"/>
    <n v="15"/>
    <n v="15"/>
  </r>
  <r>
    <x v="226"/>
    <s v="Oscar Sampaio"/>
    <x v="1"/>
    <d v="2024-10-09T00:00:00"/>
    <x v="1"/>
    <n v="5"/>
    <x v="0"/>
    <s v="No"/>
    <x v="1"/>
    <s v="No"/>
    <n v="0"/>
    <n v="1"/>
    <n v="4"/>
  </r>
  <r>
    <x v="227"/>
    <s v="Patrícia Leite"/>
    <x v="0"/>
    <d v="2024-10-10T00:00:00"/>
    <x v="0"/>
    <n v="15"/>
    <x v="1"/>
    <s v="Yes"/>
    <x v="0"/>
    <s v="Yes"/>
    <n v="20"/>
    <n v="3"/>
    <n v="62"/>
  </r>
  <r>
    <x v="228"/>
    <s v="Quênia Rocha"/>
    <x v="2"/>
    <d v="2024-10-11T00:00:00"/>
    <x v="1"/>
    <n v="10"/>
    <x v="0"/>
    <s v="No"/>
    <x v="1"/>
    <s v="Yes"/>
    <n v="20"/>
    <n v="10"/>
    <n v="20"/>
  </r>
  <r>
    <x v="229"/>
    <s v="Rafael Torres"/>
    <x v="1"/>
    <d v="2024-10-12T00:00:00"/>
    <x v="0"/>
    <n v="5"/>
    <x v="2"/>
    <s v="No"/>
    <x v="1"/>
    <s v="No"/>
    <n v="0"/>
    <n v="0"/>
    <n v="5"/>
  </r>
  <r>
    <x v="230"/>
    <s v="Sandra Gouveia"/>
    <x v="0"/>
    <d v="2024-10-13T00:00:00"/>
    <x v="1"/>
    <n v="15"/>
    <x v="0"/>
    <s v="Yes"/>
    <x v="0"/>
    <s v="Yes"/>
    <n v="20"/>
    <n v="15"/>
    <n v="50"/>
  </r>
  <r>
    <x v="231"/>
    <s v="Tiago Lacerda"/>
    <x v="2"/>
    <d v="2024-10-14T00:00:00"/>
    <x v="0"/>
    <n v="10"/>
    <x v="1"/>
    <s v="No"/>
    <x v="1"/>
    <s v="Yes"/>
    <n v="20"/>
    <n v="15"/>
    <n v="15"/>
  </r>
  <r>
    <x v="232"/>
    <s v="Ursula Fonseca"/>
    <x v="1"/>
    <d v="2024-10-15T00:00:00"/>
    <x v="1"/>
    <n v="5"/>
    <x v="0"/>
    <s v="No"/>
    <x v="1"/>
    <s v="No"/>
    <n v="0"/>
    <n v="1"/>
    <n v="4"/>
  </r>
  <r>
    <x v="233"/>
    <s v="Vanessa Andrade"/>
    <x v="0"/>
    <d v="2024-10-16T00:00:00"/>
    <x v="0"/>
    <n v="15"/>
    <x v="2"/>
    <s v="Yes"/>
    <x v="0"/>
    <s v="Yes"/>
    <n v="20"/>
    <n v="7"/>
    <n v="58"/>
  </r>
  <r>
    <x v="234"/>
    <s v="William Castro"/>
    <x v="2"/>
    <d v="2024-10-17T00:00:00"/>
    <x v="1"/>
    <n v="10"/>
    <x v="0"/>
    <s v="No"/>
    <x v="1"/>
    <s v="Yes"/>
    <n v="20"/>
    <n v="10"/>
    <n v="20"/>
  </r>
  <r>
    <x v="235"/>
    <s v="Xavier Monteiro"/>
    <x v="1"/>
    <d v="2024-10-18T00:00:00"/>
    <x v="0"/>
    <n v="5"/>
    <x v="1"/>
    <s v="No"/>
    <x v="1"/>
    <s v="No"/>
    <n v="0"/>
    <n v="0"/>
    <n v="5"/>
  </r>
  <r>
    <x v="236"/>
    <s v="Yasmin Figueira"/>
    <x v="0"/>
    <d v="2024-10-19T00:00:00"/>
    <x v="1"/>
    <n v="15"/>
    <x v="0"/>
    <s v="Yes"/>
    <x v="0"/>
    <s v="Yes"/>
    <n v="20"/>
    <n v="15"/>
    <n v="50"/>
  </r>
  <r>
    <x v="237"/>
    <s v="Zacarias Mendonça"/>
    <x v="2"/>
    <d v="2024-10-20T00:00:00"/>
    <x v="0"/>
    <n v="10"/>
    <x v="2"/>
    <s v="No"/>
    <x v="1"/>
    <s v="Yes"/>
    <n v="20"/>
    <n v="12"/>
    <n v="18"/>
  </r>
  <r>
    <x v="238"/>
    <s v="Amanda Menezes"/>
    <x v="1"/>
    <d v="2024-10-21T00:00:00"/>
    <x v="1"/>
    <n v="5"/>
    <x v="0"/>
    <s v="No"/>
    <x v="1"/>
    <s v="No"/>
    <n v="0"/>
    <n v="2"/>
    <n v="3"/>
  </r>
  <r>
    <x v="239"/>
    <s v="Bruno Santos"/>
    <x v="0"/>
    <d v="2024-10-22T00:00:00"/>
    <x v="0"/>
    <n v="15"/>
    <x v="1"/>
    <s v="Yes"/>
    <x v="0"/>
    <s v="Yes"/>
    <n v="20"/>
    <n v="5"/>
    <n v="60"/>
  </r>
  <r>
    <x v="240"/>
    <s v="Carla Ferreira"/>
    <x v="2"/>
    <d v="2024-10-23T00:00:00"/>
    <x v="1"/>
    <n v="10"/>
    <x v="0"/>
    <s v="No"/>
    <x v="1"/>
    <s v="Yes"/>
    <n v="20"/>
    <n v="10"/>
    <n v="20"/>
  </r>
  <r>
    <x v="241"/>
    <s v="Diogo Alves"/>
    <x v="1"/>
    <d v="2024-10-24T00:00:00"/>
    <x v="0"/>
    <n v="5"/>
    <x v="2"/>
    <s v="No"/>
    <x v="1"/>
    <s v="No"/>
    <n v="0"/>
    <n v="0"/>
    <n v="5"/>
  </r>
  <r>
    <x v="242"/>
    <s v="Elisa Neves"/>
    <x v="0"/>
    <d v="2024-10-25T00:00:00"/>
    <x v="1"/>
    <n v="15"/>
    <x v="0"/>
    <s v="Yes"/>
    <x v="0"/>
    <s v="Yes"/>
    <n v="20"/>
    <n v="3"/>
    <n v="62"/>
  </r>
  <r>
    <x v="243"/>
    <s v="Fabiano Pires"/>
    <x v="2"/>
    <d v="2024-10-26T00:00:00"/>
    <x v="0"/>
    <n v="10"/>
    <x v="1"/>
    <s v="No"/>
    <x v="1"/>
    <s v="Yes"/>
    <n v="20"/>
    <n v="15"/>
    <n v="15"/>
  </r>
  <r>
    <x v="244"/>
    <s v="Giovana Ribeiro"/>
    <x v="1"/>
    <d v="2024-10-27T00:00:00"/>
    <x v="1"/>
    <n v="5"/>
    <x v="0"/>
    <s v="No"/>
    <x v="1"/>
    <s v="No"/>
    <n v="0"/>
    <n v="1"/>
    <n v="4"/>
  </r>
  <r>
    <x v="245"/>
    <s v="Hélio Costa"/>
    <x v="0"/>
    <d v="2024-10-28T00:00:00"/>
    <x v="0"/>
    <n v="15"/>
    <x v="2"/>
    <s v="Yes"/>
    <x v="0"/>
    <s v="Yes"/>
    <n v="20"/>
    <n v="7"/>
    <n v="58"/>
  </r>
  <r>
    <x v="246"/>
    <s v="Íris Loureiro"/>
    <x v="2"/>
    <d v="2024-10-29T00:00:00"/>
    <x v="1"/>
    <n v="10"/>
    <x v="0"/>
    <s v="No"/>
    <x v="1"/>
    <s v="Yes"/>
    <n v="20"/>
    <n v="10"/>
    <n v="20"/>
  </r>
  <r>
    <x v="247"/>
    <s v="João Pereira"/>
    <x v="1"/>
    <d v="2024-10-30T00:00:00"/>
    <x v="0"/>
    <n v="5"/>
    <x v="1"/>
    <s v="No"/>
    <x v="1"/>
    <s v="No"/>
    <n v="0"/>
    <n v="0"/>
    <n v="5"/>
  </r>
  <r>
    <x v="248"/>
    <s v="Klara Silva"/>
    <x v="0"/>
    <d v="2024-10-31T00:00:00"/>
    <x v="1"/>
    <n v="15"/>
    <x v="0"/>
    <s v="Yes"/>
    <x v="0"/>
    <s v="Yes"/>
    <n v="20"/>
    <n v="20"/>
    <n v="45"/>
  </r>
  <r>
    <x v="249"/>
    <s v="Luciana Barros"/>
    <x v="2"/>
    <d v="2024-11-01T00:00:00"/>
    <x v="0"/>
    <n v="10"/>
    <x v="2"/>
    <s v="No"/>
    <x v="1"/>
    <s v="Yes"/>
    <n v="20"/>
    <n v="15"/>
    <n v="15"/>
  </r>
  <r>
    <x v="250"/>
    <s v="Marcos Gomes"/>
    <x v="1"/>
    <d v="2024-11-02T00:00:00"/>
    <x v="1"/>
    <n v="5"/>
    <x v="0"/>
    <s v="No"/>
    <x v="1"/>
    <s v="No"/>
    <n v="0"/>
    <n v="1"/>
    <n v="4"/>
  </r>
  <r>
    <x v="251"/>
    <s v="Natália Soares"/>
    <x v="0"/>
    <d v="2024-11-03T00:00:00"/>
    <x v="0"/>
    <n v="15"/>
    <x v="1"/>
    <s v="Yes"/>
    <x v="0"/>
    <s v="Yes"/>
    <n v="20"/>
    <n v="3"/>
    <n v="62"/>
  </r>
  <r>
    <x v="252"/>
    <s v="Oscar Machado"/>
    <x v="2"/>
    <d v="2024-11-04T00:00:00"/>
    <x v="1"/>
    <n v="10"/>
    <x v="0"/>
    <s v="No"/>
    <x v="1"/>
    <s v="Yes"/>
    <n v="20"/>
    <n v="10"/>
    <n v="20"/>
  </r>
  <r>
    <x v="253"/>
    <s v="Patrícia Lima"/>
    <x v="1"/>
    <d v="2024-11-05T00:00:00"/>
    <x v="0"/>
    <n v="5"/>
    <x v="2"/>
    <s v="No"/>
    <x v="1"/>
    <s v="No"/>
    <n v="0"/>
    <n v="0"/>
    <n v="5"/>
  </r>
  <r>
    <x v="254"/>
    <s v="Quirino Neto"/>
    <x v="0"/>
    <d v="2024-11-06T00:00:00"/>
    <x v="1"/>
    <n v="15"/>
    <x v="0"/>
    <s v="Yes"/>
    <x v="0"/>
    <s v="Yes"/>
    <n v="20"/>
    <n v="15"/>
    <n v="50"/>
  </r>
  <r>
    <x v="255"/>
    <s v="Rafaela Souza"/>
    <x v="1"/>
    <d v="2024-11-07T00:00:00"/>
    <x v="0"/>
    <n v="5"/>
    <x v="0"/>
    <s v="No"/>
    <x v="1"/>
    <s v="No"/>
    <n v="0"/>
    <n v="0"/>
    <n v="5"/>
  </r>
  <r>
    <x v="256"/>
    <s v="Sandro Almeida"/>
    <x v="0"/>
    <d v="2024-11-08T00:00:00"/>
    <x v="1"/>
    <n v="15"/>
    <x v="2"/>
    <s v="Yes"/>
    <x v="0"/>
    <s v="Yes"/>
    <n v="20"/>
    <n v="7"/>
    <n v="58"/>
  </r>
  <r>
    <x v="257"/>
    <s v="Tânia Ribeiro"/>
    <x v="2"/>
    <d v="2024-11-09T00:00:00"/>
    <x v="0"/>
    <n v="10"/>
    <x v="1"/>
    <s v="No"/>
    <x v="1"/>
    <s v="Yes"/>
    <n v="20"/>
    <n v="10"/>
    <n v="20"/>
  </r>
  <r>
    <x v="258"/>
    <s v="Ugo Dias"/>
    <x v="1"/>
    <d v="2024-11-10T00:00:00"/>
    <x v="1"/>
    <n v="5"/>
    <x v="2"/>
    <s v="No"/>
    <x v="1"/>
    <s v="No"/>
    <n v="0"/>
    <n v="1"/>
    <n v="4"/>
  </r>
  <r>
    <x v="259"/>
    <s v="Valéria Lima"/>
    <x v="0"/>
    <d v="2024-11-11T00:00:00"/>
    <x v="0"/>
    <n v="15"/>
    <x v="0"/>
    <s v="Yes"/>
    <x v="0"/>
    <s v="Yes"/>
    <n v="20"/>
    <n v="15"/>
    <n v="50"/>
  </r>
  <r>
    <x v="260"/>
    <s v="William Fernandes"/>
    <x v="2"/>
    <d v="2024-11-12T00:00:00"/>
    <x v="1"/>
    <n v="10"/>
    <x v="0"/>
    <s v="No"/>
    <x v="1"/>
    <s v="Yes"/>
    <n v="20"/>
    <n v="5"/>
    <n v="25"/>
  </r>
  <r>
    <x v="261"/>
    <s v="Xuxa Mendes"/>
    <x v="1"/>
    <d v="2024-11-13T00:00:00"/>
    <x v="0"/>
    <n v="5"/>
    <x v="1"/>
    <s v="No"/>
    <x v="1"/>
    <s v="No"/>
    <n v="0"/>
    <n v="0"/>
    <n v="5"/>
  </r>
  <r>
    <x v="262"/>
    <s v="Ygor Farias"/>
    <x v="0"/>
    <d v="2024-11-14T00:00:00"/>
    <x v="1"/>
    <n v="15"/>
    <x v="2"/>
    <s v="Yes"/>
    <x v="0"/>
    <s v="Yes"/>
    <n v="20"/>
    <n v="20"/>
    <n v="45"/>
  </r>
  <r>
    <x v="263"/>
    <s v="Zilda Barros"/>
    <x v="2"/>
    <d v="2024-11-15T00:00:00"/>
    <x v="0"/>
    <n v="10"/>
    <x v="2"/>
    <s v="No"/>
    <x v="1"/>
    <s v="Yes"/>
    <n v="20"/>
    <n v="12"/>
    <n v="18"/>
  </r>
  <r>
    <x v="264"/>
    <s v="Amanda Santos"/>
    <x v="1"/>
    <d v="2024-11-16T00:00:00"/>
    <x v="1"/>
    <n v="5"/>
    <x v="0"/>
    <s v="No"/>
    <x v="1"/>
    <s v="No"/>
    <n v="0"/>
    <n v="2"/>
    <n v="3"/>
  </r>
  <r>
    <x v="265"/>
    <s v="Bruno Costa"/>
    <x v="0"/>
    <d v="2024-11-17T00:00:00"/>
    <x v="0"/>
    <n v="15"/>
    <x v="1"/>
    <s v="Yes"/>
    <x v="0"/>
    <s v="Yes"/>
    <n v="20"/>
    <n v="5"/>
    <n v="60"/>
  </r>
  <r>
    <x v="266"/>
    <s v="Carla Rodrigues"/>
    <x v="2"/>
    <d v="2024-11-18T00:00:00"/>
    <x v="1"/>
    <n v="10"/>
    <x v="0"/>
    <s v="No"/>
    <x v="1"/>
    <s v="Yes"/>
    <n v="20"/>
    <n v="10"/>
    <n v="20"/>
  </r>
  <r>
    <x v="267"/>
    <s v="Diogo Pereira"/>
    <x v="1"/>
    <d v="2024-11-19T00:00:00"/>
    <x v="0"/>
    <n v="5"/>
    <x v="2"/>
    <s v="No"/>
    <x v="1"/>
    <s v="No"/>
    <n v="0"/>
    <n v="0"/>
    <n v="5"/>
  </r>
  <r>
    <x v="268"/>
    <s v="Elisa Correia"/>
    <x v="0"/>
    <d v="2024-11-20T00:00:00"/>
    <x v="1"/>
    <n v="15"/>
    <x v="0"/>
    <s v="Yes"/>
    <x v="0"/>
    <s v="Yes"/>
    <n v="20"/>
    <n v="3"/>
    <n v="62"/>
  </r>
  <r>
    <x v="269"/>
    <s v="Fábio Lourenço"/>
    <x v="2"/>
    <d v="2024-11-21T00:00:00"/>
    <x v="0"/>
    <n v="10"/>
    <x v="1"/>
    <s v="No"/>
    <x v="1"/>
    <s v="Yes"/>
    <n v="20"/>
    <n v="15"/>
    <n v="15"/>
  </r>
  <r>
    <x v="270"/>
    <s v="Gabriela Neves"/>
    <x v="1"/>
    <d v="2024-11-22T00:00:00"/>
    <x v="1"/>
    <n v="5"/>
    <x v="0"/>
    <s v="No"/>
    <x v="1"/>
    <s v="No"/>
    <n v="0"/>
    <n v="1"/>
    <n v="4"/>
  </r>
  <r>
    <x v="271"/>
    <s v="Henrique Gonçalves"/>
    <x v="0"/>
    <d v="2024-11-23T00:00:00"/>
    <x v="0"/>
    <n v="15"/>
    <x v="2"/>
    <s v="Yes"/>
    <x v="0"/>
    <s v="Yes"/>
    <n v="20"/>
    <n v="7"/>
    <n v="58"/>
  </r>
  <r>
    <x v="272"/>
    <s v="Íris Santos"/>
    <x v="2"/>
    <d v="2024-11-24T00:00:00"/>
    <x v="1"/>
    <n v="10"/>
    <x v="0"/>
    <s v="No"/>
    <x v="1"/>
    <s v="Yes"/>
    <n v="20"/>
    <n v="10"/>
    <n v="20"/>
  </r>
  <r>
    <x v="273"/>
    <s v="João Marcelo Alves"/>
    <x v="1"/>
    <d v="2024-11-25T00:00:00"/>
    <x v="0"/>
    <n v="5"/>
    <x v="1"/>
    <s v="No"/>
    <x v="1"/>
    <s v="No"/>
    <n v="0"/>
    <n v="0"/>
    <n v="5"/>
  </r>
  <r>
    <x v="274"/>
    <s v="Klara Fonseca"/>
    <x v="0"/>
    <d v="2024-11-26T00:00:00"/>
    <x v="1"/>
    <n v="15"/>
    <x v="0"/>
    <s v="Yes"/>
    <x v="0"/>
    <s v="Yes"/>
    <n v="20"/>
    <n v="20"/>
    <n v="45"/>
  </r>
  <r>
    <x v="275"/>
    <s v="Lucas Mendonça"/>
    <x v="2"/>
    <d v="2024-11-27T00:00:00"/>
    <x v="0"/>
    <n v="10"/>
    <x v="2"/>
    <s v="No"/>
    <x v="1"/>
    <s v="Yes"/>
    <n v="20"/>
    <n v="15"/>
    <n v="15"/>
  </r>
  <r>
    <x v="276"/>
    <s v="Marcela Torres"/>
    <x v="1"/>
    <d v="2024-11-28T00:00:00"/>
    <x v="1"/>
    <n v="5"/>
    <x v="0"/>
    <s v="No"/>
    <x v="1"/>
    <s v="No"/>
    <n v="0"/>
    <n v="1"/>
    <n v="4"/>
  </r>
  <r>
    <x v="277"/>
    <s v="Natália Castro"/>
    <x v="0"/>
    <d v="2024-11-29T00:00:00"/>
    <x v="0"/>
    <n v="15"/>
    <x v="1"/>
    <s v="Yes"/>
    <x v="0"/>
    <s v="Yes"/>
    <n v="20"/>
    <n v="3"/>
    <n v="62"/>
  </r>
  <r>
    <x v="278"/>
    <s v="Oscar Martins"/>
    <x v="2"/>
    <d v="2024-11-30T00:00:00"/>
    <x v="1"/>
    <n v="10"/>
    <x v="0"/>
    <s v="No"/>
    <x v="1"/>
    <s v="Yes"/>
    <n v="20"/>
    <n v="10"/>
    <n v="20"/>
  </r>
  <r>
    <x v="279"/>
    <s v="Patrícia Oliveira"/>
    <x v="1"/>
    <d v="2024-12-01T00:00:00"/>
    <x v="0"/>
    <n v="5"/>
    <x v="2"/>
    <s v="No"/>
    <x v="1"/>
    <s v="No"/>
    <n v="0"/>
    <n v="0"/>
    <n v="5"/>
  </r>
  <r>
    <x v="280"/>
    <s v="Quentin Nogueira"/>
    <x v="0"/>
    <d v="2024-12-02T00:00:00"/>
    <x v="1"/>
    <n v="15"/>
    <x v="0"/>
    <s v="Yes"/>
    <x v="0"/>
    <s v="Yes"/>
    <n v="20"/>
    <n v="15"/>
    <n v="50"/>
  </r>
  <r>
    <x v="281"/>
    <s v="Raquel Silva"/>
    <x v="2"/>
    <d v="2024-12-03T00:00:00"/>
    <x v="0"/>
    <n v="10"/>
    <x v="1"/>
    <s v="No"/>
    <x v="1"/>
    <s v="Yes"/>
    <n v="20"/>
    <n v="15"/>
    <n v="15"/>
  </r>
  <r>
    <x v="282"/>
    <s v="Sandro Gomes"/>
    <x v="1"/>
    <d v="2024-12-04T00:00:00"/>
    <x v="1"/>
    <n v="5"/>
    <x v="0"/>
    <s v="No"/>
    <x v="1"/>
    <s v="No"/>
    <n v="0"/>
    <n v="1"/>
    <n v="4"/>
  </r>
  <r>
    <x v="283"/>
    <s v="Tânia Machado"/>
    <x v="0"/>
    <d v="2024-12-05T00:00:00"/>
    <x v="0"/>
    <n v="15"/>
    <x v="2"/>
    <s v="Yes"/>
    <x v="0"/>
    <s v="Yes"/>
    <n v="20"/>
    <n v="7"/>
    <n v="58"/>
  </r>
  <r>
    <x v="284"/>
    <s v="Ursula Silva"/>
    <x v="2"/>
    <d v="2024-12-06T00:00:00"/>
    <x v="1"/>
    <n v="10"/>
    <x v="0"/>
    <s v="No"/>
    <x v="1"/>
    <s v="Yes"/>
    <n v="20"/>
    <n v="10"/>
    <n v="20"/>
  </r>
  <r>
    <x v="285"/>
    <s v="Vanessa Moraes"/>
    <x v="1"/>
    <d v="2024-12-07T00:00:00"/>
    <x v="0"/>
    <n v="5"/>
    <x v="1"/>
    <s v="No"/>
    <x v="1"/>
    <s v="No"/>
    <n v="0"/>
    <n v="0"/>
    <n v="5"/>
  </r>
  <r>
    <x v="286"/>
    <s v="William Carvalho"/>
    <x v="0"/>
    <d v="2024-12-08T00:00:00"/>
    <x v="1"/>
    <n v="15"/>
    <x v="0"/>
    <s v="Yes"/>
    <x v="0"/>
    <s v="Yes"/>
    <n v="20"/>
    <n v="20"/>
    <n v="45"/>
  </r>
  <r>
    <x v="287"/>
    <s v="Xavier Reis"/>
    <x v="2"/>
    <d v="2024-12-09T00:00:00"/>
    <x v="0"/>
    <n v="10"/>
    <x v="2"/>
    <s v="No"/>
    <x v="1"/>
    <s v="Yes"/>
    <n v="20"/>
    <n v="12"/>
    <n v="18"/>
  </r>
  <r>
    <x v="288"/>
    <s v="Yasmin Rocha"/>
    <x v="1"/>
    <d v="2024-12-10T00:00:00"/>
    <x v="1"/>
    <n v="5"/>
    <x v="0"/>
    <s v="No"/>
    <x v="1"/>
    <s v="No"/>
    <n v="0"/>
    <n v="2"/>
    <n v="3"/>
  </r>
  <r>
    <x v="289"/>
    <s v="Zacarias Duarte"/>
    <x v="0"/>
    <d v="2024-12-11T00:00:00"/>
    <x v="0"/>
    <n v="15"/>
    <x v="1"/>
    <s v="Yes"/>
    <x v="0"/>
    <s v="Yes"/>
    <n v="20"/>
    <n v="5"/>
    <n v="60"/>
  </r>
  <r>
    <x v="290"/>
    <s v="Amanda Freitas"/>
    <x v="2"/>
    <d v="2024-12-12T00:00:00"/>
    <x v="1"/>
    <n v="10"/>
    <x v="0"/>
    <s v="No"/>
    <x v="1"/>
    <s v="Yes"/>
    <n v="20"/>
    <n v="10"/>
    <n v="20"/>
  </r>
  <r>
    <x v="291"/>
    <s v="Bruno Almeida"/>
    <x v="1"/>
    <d v="2024-12-13T00:00:00"/>
    <x v="0"/>
    <n v="5"/>
    <x v="2"/>
    <s v="No"/>
    <x v="1"/>
    <s v="No"/>
    <n v="0"/>
    <n v="0"/>
    <n v="5"/>
  </r>
  <r>
    <x v="292"/>
    <s v="Carla Siqueira"/>
    <x v="0"/>
    <d v="2024-12-14T00:00:00"/>
    <x v="1"/>
    <n v="15"/>
    <x v="0"/>
    <s v="Yes"/>
    <x v="0"/>
    <s v="Yes"/>
    <n v="20"/>
    <n v="3"/>
    <n v="62"/>
  </r>
  <r>
    <x v="293"/>
    <s v="Diogo Ramos"/>
    <x v="2"/>
    <d v="2024-12-15T00:00:00"/>
    <x v="0"/>
    <n v="10"/>
    <x v="1"/>
    <s v="No"/>
    <x v="1"/>
    <s v="Yes"/>
    <n v="20"/>
    <n v="15"/>
    <n v="15"/>
  </r>
  <r>
    <x v="294"/>
    <s v="Elisa Magalhães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B455E2-8CAB-4A1F-AABE-84375E9F6084}" name="tbl_anual_total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1:C14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2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71A14-84D3-464F-9EF6-4CE88564F374}" name="Tabela dinâ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7:C41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A5B0C20-492B-44AA-8D75-F3E0045087AE}" name="tbl_ea_season_pass_price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25:C27" firstHeaderRow="1" firstDataRow="1" firstDataCol="1" rowPageCount="1" colPageCount="1"/>
  <pivotFields count="13">
    <pivotField showAll="0">
      <items count="29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t="default"/>
      </items>
    </pivotField>
    <pivotField showAll="0"/>
    <pivotField axis="axisRow" showAll="0">
      <items count="4">
        <item h="1" x="1"/>
        <item h="1"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h="1" x="1"/>
        <item h="1"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2"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F0293C45-C20E-4501-97F7-9CB3690F48D5}" sourceName="Subscription Type">
  <pivotTables>
    <pivotTable tabId="3" name="tbl_anual_total"/>
    <pivotTable tabId="3" name="tbl_ea_season_pass_price"/>
    <pivotTable tabId="3" name="Tabela dinâmica3"/>
  </pivotTables>
  <data>
    <tabular pivotCacheId="20274578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F6CADA84-0E0E-46A0-A2E2-97E68B8B0CE7}" cache="SegmentaçãodeDados_Subscription_Type" caption="Subscription Type" style="SlicerStyleLight6 2" rowHeight="2476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>
    <filterColumn colId="6">
      <filters>
        <filter val="Annual"/>
      </filters>
    </filterColumn>
    <filterColumn colId="7">
      <filters>
        <filter val="Yes"/>
      </filters>
    </filterColumn>
  </autoFilter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6" zoomScaleNormal="100" workbookViewId="0">
      <selection activeCell="E5" sqref="E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G1" zoomScale="70" zoomScaleNormal="70" workbookViewId="0">
      <selection activeCell="M297" sqref="M297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hidden="1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hidden="1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hidden="1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hidden="1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hidden="1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hidden="1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hidden="1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hidden="1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hidden="1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hidden="1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hidden="1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hidden="1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hidden="1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hidden="1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hidden="1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hidden="1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hidden="1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hidden="1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hidden="1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hidden="1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hidden="1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hidden="1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hidden="1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hidden="1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hidden="1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hidden="1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hidden="1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hidden="1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hidden="1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hidden="1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hidden="1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hidden="1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hidden="1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hidden="1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hidden="1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hidden="1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hidden="1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hidden="1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hidden="1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hidden="1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hidden="1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hidden="1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hidden="1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hidden="1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hidden="1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hidden="1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hidden="1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hidden="1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hidden="1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hidden="1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hidden="1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hidden="1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hidden="1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hidden="1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hidden="1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hidden="1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hidden="1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hidden="1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hidden="1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hidden="1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hidden="1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hidden="1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hidden="1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hidden="1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hidden="1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hidden="1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hidden="1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hidden="1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hidden="1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hidden="1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hidden="1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hidden="1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hidden="1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hidden="1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hidden="1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hidden="1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hidden="1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hidden="1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>
    <tabColor theme="3" tint="0.749992370372631"/>
  </sheetPr>
  <dimension ref="B4:D44"/>
  <sheetViews>
    <sheetView showGridLines="0" topLeftCell="A6" zoomScale="55" zoomScaleNormal="55" workbookViewId="0">
      <selection activeCell="C44" sqref="C44"/>
    </sheetView>
  </sheetViews>
  <sheetFormatPr defaultRowHeight="14.4" x14ac:dyDescent="0.3"/>
  <cols>
    <col min="1" max="1" width="23" customWidth="1"/>
    <col min="2" max="2" width="24.5546875" bestFit="1" customWidth="1"/>
    <col min="3" max="3" width="45.33203125" bestFit="1" customWidth="1"/>
    <col min="4" max="4" width="30.5546875" bestFit="1" customWidth="1"/>
    <col min="5" max="5" width="6.3320312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4" spans="2:4" ht="20.399999999999999" thickBot="1" x14ac:dyDescent="0.45">
      <c r="B4" s="1" t="s">
        <v>313</v>
      </c>
      <c r="C4" s="1"/>
      <c r="D4" s="1"/>
    </row>
    <row r="5" spans="2:4" ht="15" thickTop="1" x14ac:dyDescent="0.3">
      <c r="B5" s="12" t="s">
        <v>314</v>
      </c>
      <c r="C5" s="13"/>
      <c r="D5" s="13"/>
    </row>
    <row r="6" spans="2:4" ht="15" customHeight="1" x14ac:dyDescent="0.3"/>
    <row r="9" spans="2:4" x14ac:dyDescent="0.3">
      <c r="B9" s="14" t="s">
        <v>16</v>
      </c>
      <c r="C9" t="s">
        <v>27</v>
      </c>
    </row>
    <row r="11" spans="2:4" x14ac:dyDescent="0.3">
      <c r="B11" s="14" t="s">
        <v>315</v>
      </c>
      <c r="C11" t="s">
        <v>317</v>
      </c>
    </row>
    <row r="12" spans="2:4" x14ac:dyDescent="0.3">
      <c r="B12" s="15" t="s">
        <v>23</v>
      </c>
      <c r="C12" s="16">
        <v>806</v>
      </c>
    </row>
    <row r="13" spans="2:4" x14ac:dyDescent="0.3">
      <c r="B13" s="15" t="s">
        <v>19</v>
      </c>
      <c r="C13" s="16">
        <v>1502</v>
      </c>
    </row>
    <row r="14" spans="2:4" x14ac:dyDescent="0.3">
      <c r="B14" s="15" t="s">
        <v>316</v>
      </c>
      <c r="C14" s="16">
        <v>2308</v>
      </c>
    </row>
    <row r="23" spans="2:3" x14ac:dyDescent="0.3">
      <c r="B23" s="14" t="s">
        <v>16</v>
      </c>
      <c r="C23" t="s">
        <v>27</v>
      </c>
    </row>
    <row r="25" spans="2:3" x14ac:dyDescent="0.3">
      <c r="B25" s="14" t="s">
        <v>315</v>
      </c>
      <c r="C25" t="s">
        <v>319</v>
      </c>
    </row>
    <row r="26" spans="2:3" x14ac:dyDescent="0.3">
      <c r="B26" s="15" t="s">
        <v>18</v>
      </c>
      <c r="C26" s="18">
        <v>990</v>
      </c>
    </row>
    <row r="27" spans="2:3" x14ac:dyDescent="0.3">
      <c r="B27" s="15" t="s">
        <v>316</v>
      </c>
      <c r="C27" s="18">
        <v>990</v>
      </c>
    </row>
    <row r="31" spans="2:3" x14ac:dyDescent="0.3">
      <c r="C31" s="17">
        <f>GETPIVOTDATA("EA Play Season Pass
Price",$B$25)</f>
        <v>990</v>
      </c>
    </row>
    <row r="35" spans="2:3" x14ac:dyDescent="0.3">
      <c r="B35" s="14" t="s">
        <v>16</v>
      </c>
      <c r="C35" t="s">
        <v>27</v>
      </c>
    </row>
    <row r="37" spans="2:3" x14ac:dyDescent="0.3">
      <c r="B37" s="14" t="s">
        <v>315</v>
      </c>
      <c r="C37" t="s">
        <v>320</v>
      </c>
    </row>
    <row r="38" spans="2:3" x14ac:dyDescent="0.3">
      <c r="B38" s="15" t="s">
        <v>22</v>
      </c>
      <c r="C38" s="16">
        <v>0</v>
      </c>
    </row>
    <row r="39" spans="2:3" x14ac:dyDescent="0.3">
      <c r="B39" s="15" t="s">
        <v>26</v>
      </c>
      <c r="C39" s="16">
        <v>480</v>
      </c>
    </row>
    <row r="40" spans="2:3" x14ac:dyDescent="0.3">
      <c r="B40" s="15" t="s">
        <v>18</v>
      </c>
      <c r="C40" s="16">
        <v>660</v>
      </c>
    </row>
    <row r="41" spans="2:3" x14ac:dyDescent="0.3">
      <c r="B41" s="15" t="s">
        <v>316</v>
      </c>
      <c r="C41" s="16">
        <v>1140</v>
      </c>
    </row>
    <row r="44" spans="2:3" x14ac:dyDescent="0.3">
      <c r="C44" s="17">
        <f>GETPIVOTDATA("Minecraft Season Pass Price",$B$37)</f>
        <v>1140</v>
      </c>
    </row>
  </sheetData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Z280"/>
  <sheetViews>
    <sheetView showGridLines="0" showRowColHeaders="0" tabSelected="1" zoomScale="85" zoomScaleNormal="85" workbookViewId="0">
      <selection activeCell="A29" sqref="A29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37.44140625" style="4" customWidth="1"/>
    <col min="2" max="2" width="9.77734375" customWidth="1"/>
    <col min="12" max="12" width="6.5546875" customWidth="1"/>
  </cols>
  <sheetData>
    <row r="2" spans="1:26" ht="27.6" thickBot="1" x14ac:dyDescent="0.65">
      <c r="C2" s="22" t="s">
        <v>318</v>
      </c>
      <c r="D2" s="19"/>
      <c r="E2" s="19"/>
      <c r="F2" s="19"/>
      <c r="G2" s="19"/>
      <c r="H2" s="19"/>
      <c r="I2" s="20"/>
      <c r="J2" s="21"/>
      <c r="K2" s="21"/>
    </row>
    <row r="3" spans="1:26" ht="15" thickTop="1" x14ac:dyDescent="0.3"/>
    <row r="5" spans="1:26" ht="16.8" x14ac:dyDescent="0.4">
      <c r="B5" s="7"/>
      <c r="C5" s="24" t="s">
        <v>322</v>
      </c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pans="1:26" x14ac:dyDescent="0.3">
      <c r="B6" s="7"/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 spans="1:26" x14ac:dyDescent="0.3"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 spans="1:26" x14ac:dyDescent="0.3"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 spans="1:26" ht="24.6" x14ac:dyDescent="0.55000000000000004">
      <c r="A9" s="23" t="s">
        <v>321</v>
      </c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 spans="1:26" x14ac:dyDescent="0.3"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 spans="1:26" x14ac:dyDescent="0.3"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 spans="1:26" x14ac:dyDescent="0.3"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 spans="1:26" x14ac:dyDescent="0.3"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 spans="1:26" x14ac:dyDescent="0.3"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 spans="1:26" x14ac:dyDescent="0.3"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 spans="1:26" x14ac:dyDescent="0.3"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 spans="2:26" x14ac:dyDescent="0.3"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 spans="2:26" x14ac:dyDescent="0.3"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 spans="2:26" x14ac:dyDescent="0.3"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spans="2:26" x14ac:dyDescent="0.3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spans="2:26" x14ac:dyDescent="0.3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spans="2:26" x14ac:dyDescent="0.3"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spans="2:26" x14ac:dyDescent="0.3"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spans="2:26" x14ac:dyDescent="0.3"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spans="2:26" x14ac:dyDescent="0.3"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spans="2:26" x14ac:dyDescent="0.3"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spans="2:26" x14ac:dyDescent="0.3"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spans="2:26" x14ac:dyDescent="0.3"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spans="2:26" x14ac:dyDescent="0.3"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spans="2:26" x14ac:dyDescent="0.3"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spans="2:26" x14ac:dyDescent="0.3"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spans="2:26" x14ac:dyDescent="0.3"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spans="2:26" x14ac:dyDescent="0.3"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spans="2:26" x14ac:dyDescent="0.3"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spans="2:26" x14ac:dyDescent="0.3"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spans="2:26" x14ac:dyDescent="0.3"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spans="2:26" x14ac:dyDescent="0.3"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spans="2:26" x14ac:dyDescent="0.3"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spans="2:26" x14ac:dyDescent="0.3"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spans="2:26" x14ac:dyDescent="0.3"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spans="2:26" x14ac:dyDescent="0.3"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spans="2:26" x14ac:dyDescent="0.3"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spans="2:26" x14ac:dyDescent="0.3"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spans="2:26" x14ac:dyDescent="0.3"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spans="2:26" x14ac:dyDescent="0.3"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spans="2:26" x14ac:dyDescent="0.3"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spans="2:26" x14ac:dyDescent="0.3"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spans="2:26" x14ac:dyDescent="0.3"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spans="2:26" x14ac:dyDescent="0.3"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spans="2:26" x14ac:dyDescent="0.3"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spans="2:26" x14ac:dyDescent="0.3"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spans="2:26" x14ac:dyDescent="0.3"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spans="2:26" x14ac:dyDescent="0.3"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spans="2:26" x14ac:dyDescent="0.3"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spans="2:26" x14ac:dyDescent="0.3"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spans="2:26" x14ac:dyDescent="0.3"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spans="2:26" x14ac:dyDescent="0.3"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spans="2:26" x14ac:dyDescent="0.3"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spans="2:26" x14ac:dyDescent="0.3"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spans="2:26" x14ac:dyDescent="0.3"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spans="2:26" x14ac:dyDescent="0.3"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spans="2:26" x14ac:dyDescent="0.3"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spans="2:26" x14ac:dyDescent="0.3"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spans="2:26" x14ac:dyDescent="0.3"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spans="2:26" x14ac:dyDescent="0.3"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spans="2:26" x14ac:dyDescent="0.3"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spans="2:26" x14ac:dyDescent="0.3"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spans="2:26" x14ac:dyDescent="0.3"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spans="2:26" x14ac:dyDescent="0.3"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spans="2:26" x14ac:dyDescent="0.3"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spans="2:26" x14ac:dyDescent="0.3"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spans="2:26" x14ac:dyDescent="0.3"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spans="2:26" x14ac:dyDescent="0.3"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spans="2:26" x14ac:dyDescent="0.3"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spans="2:26" x14ac:dyDescent="0.3"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spans="2:26" x14ac:dyDescent="0.3"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spans="2:26" x14ac:dyDescent="0.3"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spans="2:26" x14ac:dyDescent="0.3"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spans="2:26" x14ac:dyDescent="0.3"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spans="2:26" x14ac:dyDescent="0.3"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spans="2:26" x14ac:dyDescent="0.3"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spans="2:26" x14ac:dyDescent="0.3"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spans="2:26" x14ac:dyDescent="0.3"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spans="2:26" x14ac:dyDescent="0.3"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spans="2:26" x14ac:dyDescent="0.3"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spans="2:26" x14ac:dyDescent="0.3"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spans="2:26" x14ac:dyDescent="0.3"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spans="2:26" x14ac:dyDescent="0.3"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spans="2:26" x14ac:dyDescent="0.3"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spans="2:26" x14ac:dyDescent="0.3"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spans="2:26" x14ac:dyDescent="0.3"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spans="2:26" x14ac:dyDescent="0.3"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spans="2:26" x14ac:dyDescent="0.3"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spans="2:26" x14ac:dyDescent="0.3"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spans="2:26" x14ac:dyDescent="0.3"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spans="2:26" x14ac:dyDescent="0.3"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spans="2:26" x14ac:dyDescent="0.3"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spans="2:26" x14ac:dyDescent="0.3"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spans="2:26" x14ac:dyDescent="0.3"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spans="2:26" x14ac:dyDescent="0.3"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spans="2:26" x14ac:dyDescent="0.3"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spans="2:26" x14ac:dyDescent="0.3"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spans="2:26" x14ac:dyDescent="0.3"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spans="2:26" x14ac:dyDescent="0.3"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spans="2:26" x14ac:dyDescent="0.3"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spans="2:26" x14ac:dyDescent="0.3"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spans="2:26" x14ac:dyDescent="0.3"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spans="2:26" x14ac:dyDescent="0.3"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spans="2:26" x14ac:dyDescent="0.3"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spans="2:26" x14ac:dyDescent="0.3"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spans="2:26" x14ac:dyDescent="0.3"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spans="2:26" x14ac:dyDescent="0.3"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spans="2:26" x14ac:dyDescent="0.3"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spans="2:26" x14ac:dyDescent="0.3"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spans="2:26" x14ac:dyDescent="0.3"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spans="2:26" x14ac:dyDescent="0.3"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spans="2:26" x14ac:dyDescent="0.3"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spans="2:26" x14ac:dyDescent="0.3"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spans="2:26" x14ac:dyDescent="0.3"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spans="2:26" x14ac:dyDescent="0.3"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spans="2:26" x14ac:dyDescent="0.3"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spans="2:26" x14ac:dyDescent="0.3"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spans="2:26" x14ac:dyDescent="0.3"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spans="2:26" x14ac:dyDescent="0.3"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spans="2:26" x14ac:dyDescent="0.3"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spans="2:26" x14ac:dyDescent="0.3"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spans="2:26" x14ac:dyDescent="0.3"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spans="2:26" x14ac:dyDescent="0.3"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spans="2:26" x14ac:dyDescent="0.3"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spans="2:26" x14ac:dyDescent="0.3"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spans="2:26" x14ac:dyDescent="0.3"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spans="2:26" x14ac:dyDescent="0.3"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spans="2:26" x14ac:dyDescent="0.3"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spans="2:26" x14ac:dyDescent="0.3"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spans="2:26" x14ac:dyDescent="0.3"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spans="2:26" x14ac:dyDescent="0.3"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spans="2:26" x14ac:dyDescent="0.3"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spans="2:26" x14ac:dyDescent="0.3"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spans="2:26" x14ac:dyDescent="0.3"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spans="2:26" x14ac:dyDescent="0.3"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spans="2:26" x14ac:dyDescent="0.3"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spans="2:26" x14ac:dyDescent="0.3"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spans="2:26" x14ac:dyDescent="0.3"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spans="2:26" x14ac:dyDescent="0.3"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spans="2:26" x14ac:dyDescent="0.3"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spans="2:26" x14ac:dyDescent="0.3"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spans="2:26" x14ac:dyDescent="0.3"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spans="2:26" x14ac:dyDescent="0.3"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spans="2:26" x14ac:dyDescent="0.3"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spans="2:26" x14ac:dyDescent="0.3"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spans="2:26" x14ac:dyDescent="0.3"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spans="2:26" x14ac:dyDescent="0.3"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spans="2:26" x14ac:dyDescent="0.3"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spans="2:26" x14ac:dyDescent="0.3"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spans="2:26" x14ac:dyDescent="0.3"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spans="2:26" x14ac:dyDescent="0.3"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spans="2:26" x14ac:dyDescent="0.3"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spans="2:26" x14ac:dyDescent="0.3"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spans="2:26" x14ac:dyDescent="0.3"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spans="2:26" x14ac:dyDescent="0.3"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spans="2:26" x14ac:dyDescent="0.3"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spans="2:26" x14ac:dyDescent="0.3"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spans="2:26" x14ac:dyDescent="0.3"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spans="2:26" x14ac:dyDescent="0.3"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spans="2:26" x14ac:dyDescent="0.3"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spans="2:26" x14ac:dyDescent="0.3"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spans="2:26" x14ac:dyDescent="0.3"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spans="2:26" x14ac:dyDescent="0.3"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spans="2:26" x14ac:dyDescent="0.3"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spans="2:26" x14ac:dyDescent="0.3"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spans="2:26" x14ac:dyDescent="0.3"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spans="2:26" x14ac:dyDescent="0.3"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spans="2:26" x14ac:dyDescent="0.3"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spans="2:26" x14ac:dyDescent="0.3"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spans="2:26" x14ac:dyDescent="0.3"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spans="2:26" x14ac:dyDescent="0.3"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spans="2:26" x14ac:dyDescent="0.3"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spans="2:26" x14ac:dyDescent="0.3"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spans="2:26" x14ac:dyDescent="0.3"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spans="2:26" x14ac:dyDescent="0.3"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spans="2:26" x14ac:dyDescent="0.3"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spans="2:26" x14ac:dyDescent="0.3"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spans="2:26" x14ac:dyDescent="0.3"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spans="2:26" x14ac:dyDescent="0.3"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spans="2:26" x14ac:dyDescent="0.3"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spans="2:26" x14ac:dyDescent="0.3"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spans="2:26" x14ac:dyDescent="0.3"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spans="2:26" x14ac:dyDescent="0.3"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spans="2:26" x14ac:dyDescent="0.3"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spans="2:26" x14ac:dyDescent="0.3"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spans="2:26" x14ac:dyDescent="0.3"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spans="2:26" x14ac:dyDescent="0.3"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spans="2:26" x14ac:dyDescent="0.3"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spans="2:26" x14ac:dyDescent="0.3"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spans="2:26" x14ac:dyDescent="0.3"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spans="2:26" x14ac:dyDescent="0.3"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spans="2:26" x14ac:dyDescent="0.3"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spans="2:26" x14ac:dyDescent="0.3"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spans="2:26" x14ac:dyDescent="0.3"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spans="2:26" x14ac:dyDescent="0.3"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spans="2:26" x14ac:dyDescent="0.3"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spans="2:26" x14ac:dyDescent="0.3"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spans="2:26" x14ac:dyDescent="0.3"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spans="2:26" x14ac:dyDescent="0.3"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spans="2:26" x14ac:dyDescent="0.3"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spans="2:26" x14ac:dyDescent="0.3"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spans="2:26" x14ac:dyDescent="0.3"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spans="2:26" x14ac:dyDescent="0.3"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spans="2:26" x14ac:dyDescent="0.3"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spans="2:26" x14ac:dyDescent="0.3"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spans="2:26" x14ac:dyDescent="0.3"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spans="2:26" x14ac:dyDescent="0.3"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spans="2:26" x14ac:dyDescent="0.3"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spans="2:26" x14ac:dyDescent="0.3"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spans="2:26" x14ac:dyDescent="0.3"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spans="2:26" x14ac:dyDescent="0.3"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spans="2:26" x14ac:dyDescent="0.3"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spans="2:26" x14ac:dyDescent="0.3"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spans="2:26" x14ac:dyDescent="0.3"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spans="2:26" x14ac:dyDescent="0.3"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spans="2:26" x14ac:dyDescent="0.3"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spans="2:26" x14ac:dyDescent="0.3"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spans="2:26" x14ac:dyDescent="0.3"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spans="2:26" x14ac:dyDescent="0.3"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spans="2:26" x14ac:dyDescent="0.3"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spans="2:26" x14ac:dyDescent="0.3"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spans="2:26" x14ac:dyDescent="0.3"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spans="2:26" x14ac:dyDescent="0.3"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spans="2:26" x14ac:dyDescent="0.3"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spans="2:26" x14ac:dyDescent="0.3"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spans="2:26" x14ac:dyDescent="0.3"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spans="2:26" x14ac:dyDescent="0.3"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spans="2:26" x14ac:dyDescent="0.3"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spans="2:26" x14ac:dyDescent="0.3"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spans="2:26" x14ac:dyDescent="0.3"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spans="2:26" x14ac:dyDescent="0.3"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spans="2:26" x14ac:dyDescent="0.3"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spans="2:26" x14ac:dyDescent="0.3"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spans="2:26" x14ac:dyDescent="0.3"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spans="2:26" x14ac:dyDescent="0.3"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spans="2:26" x14ac:dyDescent="0.3"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spans="2:26" x14ac:dyDescent="0.3"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spans="2:26" x14ac:dyDescent="0.3"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spans="2:26" x14ac:dyDescent="0.3"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spans="2:26" x14ac:dyDescent="0.3"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spans="2:26" x14ac:dyDescent="0.3"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spans="2:26" x14ac:dyDescent="0.3"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spans="2:26" x14ac:dyDescent="0.3"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spans="2:26" x14ac:dyDescent="0.3"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spans="2:26" x14ac:dyDescent="0.3"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spans="2:26" x14ac:dyDescent="0.3"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spans="2:26" x14ac:dyDescent="0.3"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spans="2:26" x14ac:dyDescent="0.3"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spans="2:26" x14ac:dyDescent="0.3"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spans="2:26" x14ac:dyDescent="0.3"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spans="2:26" x14ac:dyDescent="0.3"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spans="2:26" x14ac:dyDescent="0.3"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spans="2:26" x14ac:dyDescent="0.3"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spans="2:26" x14ac:dyDescent="0.3"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spans="2:26" x14ac:dyDescent="0.3"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spans="2:26" x14ac:dyDescent="0.3"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spans="2:26" x14ac:dyDescent="0.3"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spans="2:26" x14ac:dyDescent="0.3"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spans="2:26" x14ac:dyDescent="0.3"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spans="2:26" x14ac:dyDescent="0.3"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spans="2:26" x14ac:dyDescent="0.3"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spans="2:26" x14ac:dyDescent="0.3"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spans="2:26" x14ac:dyDescent="0.3"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spans="2:26" x14ac:dyDescent="0.3"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spans="2:26" x14ac:dyDescent="0.3"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spans="2:26" x14ac:dyDescent="0.3"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spans="2:26" x14ac:dyDescent="0.3"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spans="2:26" x14ac:dyDescent="0.3"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spans="2:26" x14ac:dyDescent="0.3"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spans="2:26" x14ac:dyDescent="0.3"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spans="2:26" x14ac:dyDescent="0.3"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spans="2:26" x14ac:dyDescent="0.3"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spans="2:26" x14ac:dyDescent="0.3"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spans="2:26" x14ac:dyDescent="0.3"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spans="2:26" x14ac:dyDescent="0.3"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Victor Hugo</cp:lastModifiedBy>
  <dcterms:created xsi:type="dcterms:W3CDTF">2024-12-19T13:13:10Z</dcterms:created>
  <dcterms:modified xsi:type="dcterms:W3CDTF">2026-02-12T13:12:50Z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